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5"/>
    <sheet state="visible" name="2. Page Inventory &amp; Priority" sheetId="2" r:id="rId6"/>
    <sheet state="visible" name="3. Flange Type Pages" sheetId="3" r:id="rId7"/>
    <sheet state="visible" name="4. Material Grade Pages" sheetId="4" r:id="rId8"/>
    <sheet state="visible" name="5. Standards Pages" sheetId="5" r:id="rId9"/>
    <sheet state="visible" name="6. Industry Pages" sheetId="6" r:id="rId10"/>
    <sheet state="visible" name="7. Dimensional &amp; Weight Data" sheetId="7" r:id="rId11"/>
    <sheet state="visible" name="8. Chemical &amp; Mechanical Data" sheetId="8" r:id="rId12"/>
    <sheet state="visible" name="9. Schema JSON-LD Templates" sheetId="9" r:id="rId13"/>
    <sheet state="visible" name="10. Internal Linking Map" sheetId="10" r:id="rId14"/>
    <sheet state="visible" name="11. Gated Download Specs" sheetId="11" r:id="rId15"/>
    <sheet state="visible" name="12. Competitor Gap Analysis" sheetId="12" r:id="rId16"/>
    <sheet state="visible" name="13. Fact-Check &amp; Source Log" sheetId="13" r:id="rId17"/>
    <sheet state="visible" name="14. Recheck &amp; Gap Report" sheetId="14" r:id="rId18"/>
  </sheets>
  <definedNames/>
  <calcPr/>
</workbook>
</file>

<file path=xl/sharedStrings.xml><?xml version="1.0" encoding="utf-8"?>
<sst xmlns="http://schemas.openxmlformats.org/spreadsheetml/2006/main" count="1907" uniqueCount="712">
  <si>
    <t>Remax Forge &amp; Fittings — Content Domination Build Pack</t>
  </si>
  <si>
    <t>Page Inventory &amp; Priority</t>
  </si>
  <si>
    <t>Material Grade Pages — Content Specs</t>
  </si>
  <si>
    <t>Flange Type Pages — Content Specs</t>
  </si>
  <si>
    <t>Companion workbook to RemaxForge_SEO_LeadGen_Master_Plan.xlsx and RemaxForge_Case_Studies_Build_Pack.xlsx</t>
  </si>
  <si>
    <t>PURPOSE</t>
  </si>
  <si>
    <t>This workbook is the executed build pack for the master prompt "RemaxForge_Content_Domination_Master_Prompt.md" (competitor analysis: Marcel Piping / marcelforged.com and Viraj Profiles / viraj.com). It specifies 32 new/deepened pages designed to out-cover both competitors on accuracy while staying within a fixed, evidence-based scope.</t>
  </si>
  <si>
    <t>SCOPE BUILT</t>
  </si>
  <si>
    <t>Master index of all 32 pages in scope — start here</t>
  </si>
  <si>
    <t>8 Flange Type pages (deepen existing) + 12 Material Grade pages (new) + 6 Standards pages (new) + 6 Industry pages (new) = 32 pages total. This is deliberately smaller than Marcel's ~140-page catalogue — see Tab 12 (Competitor Gap Analysis) for the reasoning.</t>
  </si>
  <si>
    <t>#</t>
  </si>
  <si>
    <t>NON-NEGOTIABLE RULE</t>
  </si>
  <si>
    <t>8 existing pages to deepen. Do not change URLs (redirect debt). Word count target: 1,800-3,000.</t>
  </si>
  <si>
    <t>12 new pages. Word count target: 1,800-3,000. Every composition/property figure sourced in Tab 13.</t>
  </si>
  <si>
    <t>Page Type</t>
  </si>
  <si>
    <t>Page Name</t>
  </si>
  <si>
    <t>NO phone numbers, WhatsApp links, or click-to-call elements anywhere — in page copy, CTA blocks, footers, or schema markup. Every conversion path is a form: quote request, callback request, or gated technical-download form. This is checked page-by-page in Tab 14 (Recheck &amp; Gap Report).</t>
  </si>
  <si>
    <t>URL</t>
  </si>
  <si>
    <t>Priority</t>
  </si>
  <si>
    <t>HOW TO USE THIS WORKBOOK</t>
  </si>
  <si>
    <t>Target Keyword Cluster</t>
  </si>
  <si>
    <t>Word Count Target</t>
  </si>
  <si>
    <t>Status</t>
  </si>
  <si>
    <t>Tab 2 is the master index — start there. Tabs 3-6 are the actual content specs a writer/developer builds each page from. Tabs 7-8 are the verified technical data referenced by those specs. Tabs 9-11 are the technical/dev handover (schema, internal links, gated downloads). Tab 12 is the strategic rationale. Tab 13 shows exactly where every hardcoded number came from. Tab 14 is the completed self-QA pass — read it before publishing anything.</t>
  </si>
  <si>
    <t>CELL SHADING LEGEND</t>
  </si>
  <si>
    <t>H1</t>
  </si>
  <si>
    <t>Meta Title</t>
  </si>
  <si>
    <t>YELLOW fill</t>
  </si>
  <si>
    <t>Meta Description</t>
  </si>
  <si>
    <t>Flange Type</t>
  </si>
  <si>
    <t>Section-by-Section Content Brief</t>
  </si>
  <si>
    <t>Slip On Flange</t>
  </si>
  <si>
    <t>/products/flanges/slip-on-flange/</t>
  </si>
  <si>
    <t>Table Specs</t>
  </si>
  <si>
    <t>P0</t>
  </si>
  <si>
    <t>FAQ Set (sample - expand to 8-15)</t>
  </si>
  <si>
    <t>slip on flange manufacturer, SO flange class 150/300</t>
  </si>
  <si>
    <t>1,800-3,000</t>
  </si>
  <si>
    <t>Internal Links (To)</t>
  </si>
  <si>
    <t>Spec complete - ready for writer</t>
  </si>
  <si>
    <t>CTA Block</t>
  </si>
  <si>
    <t xml:space="preserve">  = Requires real input from Akshat/ops before publishing (unconfirmed certifications, real client references, actual product-scope confirmations). Never publish a yellow cell's content as-is — it is a placeholder naming what's needed, not approved copy.</t>
  </si>
  <si>
    <t>Weld Neck Flange</t>
  </si>
  <si>
    <t>/products/flanges/weld-neck-flange/</t>
  </si>
  <si>
    <t>GREEN fill</t>
  </si>
  <si>
    <t>weld neck flange manufacturer, WN flange ASME B16.5</t>
  </si>
  <si>
    <t>Slip On Flange (SO) Supplier — ASME B16.5, Class 150–2500</t>
  </si>
  <si>
    <t>Slip On Flange Manufacturer India | ASME B16.5 SO Flange</t>
  </si>
  <si>
    <t>Slip on flange manufacturer in Mumbai. ASME B16.5 Class 150-2500, all grades, RF/FF/RTJ face. In-house forging, EN 10204 3.1/3.2 MTC. Get a quote in 30 minutes.</t>
  </si>
  <si>
    <t>Carbon Steel Flanges (A105 / A350 LF2)</t>
  </si>
  <si>
    <t>Blind Flange</t>
  </si>
  <si>
    <t xml:space="preserve">  = Verified, sourced, ready to use as-is (e.g., ASME B16.5 dimensional data, cross-checked against two independent published sources).</t>
  </si>
  <si>
    <t>/products/flanges/blind-flange/</t>
  </si>
  <si>
    <t>/materials/carbon-steel-flanges/</t>
  </si>
  <si>
    <t>1) Definition &amp; how it's installed (slides over pipe, double fillet weld). 2) Full dimensional table by NPS x Class (link to Tab 7 Common Dimensions - OD, BCD, bolt count/size). 3) Weight chart by NPS x Class x material. 4) When to specify SO vs Weld Neck - decision guidance, not just a feature list (cost, install tolerance, cyclic service limits per ASME B31.3). 5) Facing options (RF/FF/RTJ) with a face-selection note specific to SO (RTJ on slip-on is unusual - flag it). 6) Material grades offered (link to all 12 material pages). 7) Standards cross-reference (ASME/EN/DIN/JIS). 8) QC &amp; documentation (MTC 3.1/3.2, PMI, dimensional inspection). 9) FAQs. 10) CTA.</t>
  </si>
  <si>
    <t>blind flange dimensions, blind flange weight chart</t>
  </si>
  <si>
    <t>Carbon Steel Flanges — ASTM A105 &amp; A350 LF2 Manufacturer</t>
  </si>
  <si>
    <t>SOURCES USED FOR ALL HARDCODED TECHNICAL DATA</t>
  </si>
  <si>
    <t>Dimensional table (NPS x Class), Weight chart (NPS x Class x material), Standards cross-reference</t>
  </si>
  <si>
    <t>Carbon Steel Flange Manufacturer | ASTM A105, A350 LF2 India</t>
  </si>
  <si>
    <t>Carbon steel flange manufacturer, Mumbai. ASTM A105 (ambient/elevated temp) &amp; A350 LF2 (low-temp, Charpy tested). All flange types, Class 150-2500.</t>
  </si>
  <si>
    <t>Socket Weld Flange</t>
  </si>
  <si>
    <t>/products/flanges/socket-weld-flange/</t>
  </si>
  <si>
    <t>Full citation list is in Tab 13 (Fact-Check &amp; Source Log). In summary: ASME B16.5-2022 dimensional/bolting data (cross-verified across Engineering ToolBox and API International, Inc. publications of the same standard); blind flange thickness/weight data (HT Pipe, explicitly citing ASME B16.5-2022 Tables 1.1-1 through 1.1-7); chemical composition and mechanical properties per governing ASTM specification (A105, A350, A182, B564). Every number should be re-verified against the current edition of the cited standard before publishing — standards are periodically revised.</t>
  </si>
  <si>
    <t>Q: Can a slip-on flange be used in Class 900 service?
A: ASME B31.3 allows it dimensionally, but slip-on's double fillet weld is more fatigue-prone than a weld neck's full-penetration butt weld, so most specifications restrict SO to Class 150/300 non-cyclic service. Confirm against your governing piping class and code case.
Q: What's the pipe cut-length tolerance for a slip-on flange?
A: Slip-on is forgiving here - typically +/-3mm is acceptable since the flange slides over the pipe end rather than butting to it, unlike weld neck which needs a precise square cut.
Q: Can slip-on flanges be supplied in duplex or super duplex?
A: Yes - forged in F51/F53/F55 on request, though weld neck is more commonly specified for duplex given the cyclic/high-integrity services duplex is usually chosen for.
Q: Does a slip-on flange need full radiographic examination of the weld?
A: No - the fillet weld geometry can't be meaningfully radiographed. This is one of the reasons weld neck is preferred where RT of the weld is a code requirement.
[Expand to 8-15 total FAQs following this pattern - real procurement-engineer questions, real answers, no filler.]</t>
  </si>
  <si>
    <t>1) A105 vs A350 LF2 — when each applies (ambient/elevated temp vs sub-zero with mandatory impact testing), framed as a decision guide, not a spec dump. 2) Chemical composition table (source: Tab 8). 3) Mechanical properties table. 4) Pressure-temperature rating table by class (link Standards pages). 5) Applications by industry (link industry pages). 6) All 8 flange types offered in this material (link all type pages - this is the cross-link hub). 7) QC &amp; MTC. 8) FAQs. 9) CTA.</t>
  </si>
  <si>
    <t>socket weld flange manufacturer, SW flange dimensions</t>
  </si>
  <si>
    <t>Weld Neck Flange; ASME B16.5 Standards Page; Oil &amp; Gas Industry Page</t>
  </si>
  <si>
    <t>Chemical composition, Mechanical properties, P-T rating reference</t>
  </si>
  <si>
    <t>WHAT THIS WORKBOOK IS NOT</t>
  </si>
  <si>
    <t xml:space="preserve">PRIMARY: "Get Quote in 30 Minutes" form - fields: project requirement, size, class, material, quantity, standard, name, company, email. SECONDARY: "Request a Callback" form for buyers who want to discuss before submitting specs. NO phone number, NO WhatsApp link, NO click-to-call element anywhere on the page (including header/footer/schema). </t>
  </si>
  <si>
    <t>Threaded Flange</t>
  </si>
  <si>
    <t>This is not a guarantee of outranking every competitor — domain authority (backlinks, site age) is a separate, equally necessary lever already tracked in RemaxForge_SEO_LeadGen_Master_Plan.xlsx, Sheet 8. This is the content half of the strategy.</t>
  </si>
  <si>
    <t>Q: When do I need A350 LF2 instead of A105?
A: A350 LF2 is required whenever your minimum design metal temperature drops below roughly -29°C (-20°F), because it carries mandatory Charpy V-notch impact testing to verify the steel won't fail brittlely at that temperature - A105 has no such requirement and is not qualified for cold service.
Q: What's the maximum service temperature for A105?
A: Approximately 427°C (800°F) per ASME B16.5's material group tables; beyond that, strength drops enough that a Cr-Mo alloy grade (F11/F22) is typically specified instead.
Q: Is A105 the same as A105N?
A: "A105N" reflects normalized heat treatment, which most mills now apply as standard practice; functionally for most piping specifications, current A105 supply is normalized. Confirm heat treatment condition on your MTC.
[Expand to 8-15 total FAQs following this pattern - real procurement-engineer questions, real answers, no filler.]</t>
  </si>
  <si>
    <t>/products/flanges/threaded-flange/</t>
  </si>
  <si>
    <t>Slip On Flange; Weld Neck Flange; Blind Flange; Oil &amp; Gas Industry Page</t>
  </si>
  <si>
    <t>threaded flange manufacturer, NPT flange</t>
  </si>
  <si>
    <t>Weld Neck Flange (WN) Manufacturer — ASME B16.5 &amp; B16.47</t>
  </si>
  <si>
    <t>Weld Neck Flange Manufacturer India | ASME B16.5 WN Flange</t>
  </si>
  <si>
    <t>Lap Joint Flange</t>
  </si>
  <si>
    <t>Weld neck flange manufacturer, Mumbai. Class 150-2500, full RT-capable butt weld, all grades incl. duplex &amp; Inconel. EN 10204 3.1/3.2 MTC. 30-min quote.</t>
  </si>
  <si>
    <t>/products/flanges/lap-joint-flange/</t>
  </si>
  <si>
    <t>Stainless Steel 304/304L Flanges</t>
  </si>
  <si>
    <t>/materials/stainless-steel-304-flanges/</t>
  </si>
  <si>
    <t>lap joint flange manufacturer, stub end flange</t>
  </si>
  <si>
    <t>1) Definition, tapered hub, why RT-capable. 2) Full dimensional table incl. hub geometry (thickness, length thru hub, hub dia, hub top dia, RF dia) at Class 150 baseline with note on other classes. 3) Weight chart. 4) When WN is mandatory per code (Class 900+, cryogenic, cyclic, full RT requirement) - this is the page's differentiator vs Marcel/Viraj who just list it as one option among many. 5) Long Weld Neck cross-reference (link). 6) Material grades (link to all 12). 7) Standards cross-reference. 8) QC/MTC. 9) FAQs. 10) CTA.</t>
  </si>
  <si>
    <t>Stainless Steel 304/304L Flanges — ASTM A182 F304/F304L</t>
  </si>
  <si>
    <t>Full hub dimensional table (thickness/hub length/hub dia/hub top dia/RF dia) Class 150, Common dims all classes, Weight chart</t>
  </si>
  <si>
    <t>SS 304 304L Flange Manufacturer India | ASTM A182 F304</t>
  </si>
  <si>
    <t>SS 304/304L flange manufacturer, Mumbai. ASTM A182 F304/F304L, food/pharma/general chemical grade. All flange types, Class 150-2500. Quote in 30 min.</t>
  </si>
  <si>
    <t>Long Weld Neck Flange</t>
  </si>
  <si>
    <t>/products/flanges/long-weld-neck-flange/</t>
  </si>
  <si>
    <t>1) 304 vs 304L — carbon content and welded-construction sensitization explained plainly. 2) Chemical composition + mechanical properties tables. 3) Where 304 is correctly specified vs where 316 is actually needed (a genuinely useful buyer decision point - many over-specify 316 unnecessarily, or under-specify 304 where chlorides are present). 4) Applications (food processing, pharma, general chemical). 5) All flange types in this grade (link). 6) QC/MTC. 7) FAQs. 8) CTA.</t>
  </si>
  <si>
    <t>long weld neck flange, LWN flange nozzle</t>
  </si>
  <si>
    <t>Q: Why is weld neck required for Class 900 and above?
A: ASME B16.5's dimensional standard doesn't prohibit other types at high class, but most engineering specifications mandate weld neck above Class 900 because the smooth bore-to-pipe transition and full-penetration butt weld handle the higher stress concentration safely, and the weld can be fully radiographed.
Q: What's the difference between a weld neck and a long weld neck flange?
A: Same hub taper and butt-weld principle; long weld neck (LWN) has an extended hub, often integral with a reducer or nozzle, used where the flange needs to project further from the vessel or where wall-thickness transition is needed. See our Long Weld Neck page for dimensions.
Q: Can weld neck flanges be supplied with RTJ facing?
A: Yes - RTJ is one of the most common facings paired with weld neck for Class 600 and above, particularly in wellhead and high-pressure hydrocarbon service.
Q: Does the bore of a weld neck flange match my pipe schedule exactly?
A: It should - specify your pipe schedule (wall thickness) at order time; the flange bore is bored to match so the internal diameter is flush, minimizing turbulence and erosion at the joint.
Q: What's the minimum bend radius consideration when specifying hub length?
A: Not applicable to the flange itself, but confirm your isometric drawing accounts for the length-through-hub (Y dimension) when calculating overall pipe spool length - this is a common fit-up error.
[Expand to 8-15 total FAQs following this pattern - real procurement-engineer questions, real answers, no filler.]</t>
  </si>
  <si>
    <t>Chemical composition, Mechanical properties</t>
  </si>
  <si>
    <t>Slip On Flange; Long Weld Neck Flange; ASME B16.5 Standards Page; Duplex 2205 Material Page</t>
  </si>
  <si>
    <t>Q: When is 304 sufficient and when do I actually need 316?
A: 304 handles most general chemical, food, and atmospheric service well. Move to 316 specifically when chlorides are present - coastal/marine atmospheres, saline process fluids, or chloride-containing cleaning agents - since 316's molybdenum addition meaningfully improves pitting resistance in exactly that condition.
Q: Why choose 304L over standard 304 for a welded assembly?
A: 304L's lower carbon ceiling (0.030% max vs 0.08% max) reduces the risk of chromium carbide precipitation at grain boundaries during welding (sensitization), which otherwise leaves the heat-affected zone vulnerable to intergranular corrosion.
[Expand to 8-15 total FAQs following this pattern - real procurement-engineer questions, real answers, no filler.]</t>
  </si>
  <si>
    <t>Spectacle Blind Flange</t>
  </si>
  <si>
    <t>/products/flanges/spectacle-blind-flange/</t>
  </si>
  <si>
    <t>Stainless Steel 316/316L Flanges; Pharmaceutical Industry Page</t>
  </si>
  <si>
    <t>spectacle blind flange, figure 8 blind</t>
  </si>
  <si>
    <t>Material Grade</t>
  </si>
  <si>
    <t>Stainless Steel 316/316L Flanges</t>
  </si>
  <si>
    <t>Blind Flange (BL) Manufacturer — ASME B16.5, All Classes</t>
  </si>
  <si>
    <t>/materials/stainless-steel-316-flanges/</t>
  </si>
  <si>
    <t>Blind Flange Manufacturer India | ASME B16.5 Blind Flange</t>
  </si>
  <si>
    <t>P1</t>
  </si>
  <si>
    <t>Stainless Steel 316/316L Flanges — ASTM A182 F316/F316L</t>
  </si>
  <si>
    <t>carbon steel flanges (a105 / a350 lf2) manufacturer india</t>
  </si>
  <si>
    <t>Blind flange manufacturer, Mumbai. Full ASME B16.5 dimensional &amp; weight chart, Class 150-2500, all grades. In-house forging, MTC 3.1/3.2. Quote in 30 min.</t>
  </si>
  <si>
    <t>SS 316 316L Flange Manufacturer India | ASTM A182 F316</t>
  </si>
  <si>
    <t>SS 316/316L flange manufacturer, Mumbai. ASTM A182 F316/F316L, chloride &amp; marine grade. All flange types, Class 150-2500. EN 10204 3.1/3.2. Quote in 30 min.</t>
  </si>
  <si>
    <t>1) Definition, why it's the most heavily-stressed flange type (full pressure on the face, bending only, no pipe wall support). 2) FULL dimensional + weight table, all 7 classes (this is the one page where we have complete, verified data - make it the most comprehensive blind flange reference online). 3) High-hub blind variant note (mention, don't necessarily build separate page yet). 4) When blind flanges are used (isolation, hydrotest, future tie-in points, vessel nozzle closure). 5) Material grades. 6) Standards cross-reference. 7) QC/MTC. 8) FAQs. 9) CTA + gated download of the full weight chart PDF (this page is the natural home for the gated-download CTA).</t>
  </si>
  <si>
    <t>1) 316 vs 316L, molybdenum's role in corrosion resistance. 2) Chemical/mechanical tables. 3) Applications (marine, chemical process, pharma). 4) 316 vs 316Ti note (brief - stabilized variant for high-temp welded service). 5) All flange types. 6) QC/MTC. 7) FAQs. 8) CTA.</t>
  </si>
  <si>
    <t>Full dimensional table (thickness, RF dia, weight) all 7 classes, all NPS - complete, sourced</t>
  </si>
  <si>
    <t>stainless steel 304/304l flanges manufacturer india</t>
  </si>
  <si>
    <t>Q: Does 316 fully resist seawater corrosion?
A: Not indefinitely in stagnant or crevice conditions - 316 resists general seawater corrosion well but can still pit or crevice-corrode in low-flow, oxygen-depleted pockets over long exposure. For continuous seawater immersion service, duplex or super duplex grades are typically specified instead.
Q: What's the practical difference between 316 and 316L in a bolted (non-welded) flange?
A: Very little, since sensitization risk is a welding phenomenon - for a flange that will be bolted rather than welded to the pipe (e.g., certain lap joint configurations), standard 316 is often adequate; 316L's real value shows up on flanges that will be butt-welded.
[Expand to 8-15 total FAQs following this pattern - real procurement-engineer questions, real answers, no filler.]</t>
  </si>
  <si>
    <t>Q: Why are blind flanges thicker than other flange types of the same class?
A: A blind flange must resist the entire system pressure across its face in pure bending, with no pipe wall to share the load - so ASME B16.5 specifies a conservatively greater minimum thickness than a slip-on or weld neck flange of the same size and class.
Q: Can a blind flange be drilled later for a future branch connection?
A: Yes, this is common practice for future tie-in points, but drilling must be engineered (reinforcement pad or thickness allowance) rather than field-drilled without calculation, since removing material from a pressure-bearing disc changes its stress distribution.
Q: Is a blind flange the same as a plate flange?
A: Functionally similar (both close a pipe end), but a blind flange is forged to the exact ASME B16.5 dimensional standard including the raised face; a plate flange is often cut from plate stock and may not carry the same certification.
Q: What's used to isolate a line during hydrotest - blind flange or spectacle blind?
A: Both are used depending on how often the isolation needs to be removed and reinstated. A blind flange requires full bolt removal each time; a spectacle blind lets you rotate a solid plate in or out without fully disassembling - see our Spectacle Blind page.
[Expand to 8-15 total FAQs following this pattern - real procurement-engineer questions, real answers, no filler.]</t>
  </si>
  <si>
    <t>Stainless Steel 304/304L Flanges; Marine Industry Page; Chemical Processing Industry Page</t>
  </si>
  <si>
    <t>Spectacle Blind Flange; ASME B16.5 Standards Page; Water Infrastructure Industry Page</t>
  </si>
  <si>
    <t>stainless steel 316/316l flanges manufacturer india</t>
  </si>
  <si>
    <t>PRIMARY: "Get Quote in 30 Minutes" form - fields: project requirement, size, class, material, quantity, standard, name, company, email. SECONDARY: "Request a Callback" form for buyers who want to discuss before submitting specs. NO phone number, NO WhatsApp link, NO click-to-call element anywhere on the page (including header/footer/schema). PLUS gated-download CTA: "Download the full [X] chart as PDF" behind an email-capture form (name, company email, company name) - form-gated, never phone-gated.</t>
  </si>
  <si>
    <t>Stainless Steel 321/347 Flanges</t>
  </si>
  <si>
    <t>/materials/stainless-steel-321-347-flanges/</t>
  </si>
  <si>
    <t>Stainless Steel 321/347 Flanges — Stabilized Grades</t>
  </si>
  <si>
    <t>Socket Weld Flange (SW) Manufacturer — Class 150–2500</t>
  </si>
  <si>
    <t>SS 321 347 Flange Manufacturer India | Stabilized Grades</t>
  </si>
  <si>
    <t>Socket Weld Flange Manufacturer India | ASME B16.5 SW Flange</t>
  </si>
  <si>
    <t>SS 321/347 flange manufacturer, Mumbai. Ti/Nb-stabilized for high-temp welded service, refinery furnace outlet piping. Class 150-2500. Quote in 30 min.</t>
  </si>
  <si>
    <t>stainless steel 321/347 flanges manufacturer india</t>
  </si>
  <si>
    <t>Socket weld flange manufacturer, Mumbai. NPS 1/2-2 (some up to 4), Class 150-2500, single fillet weld. All grades, MTC 3.1/3.2. Quote in 30 minutes.</t>
  </si>
  <si>
    <t>1) What "stabilized" means and why it matters above 425°C. 2) 321 (Ti) vs 347 (Nb) - when each is preferred. 3) Chemical/mechanical tables. 4) Primary application: refinery furnace outlet and high-temperature heat exchanger piping. 5) All flange types. 6) QC/MTC. 7) FAQs. 8) CTA.</t>
  </si>
  <si>
    <t>1) Definition, socket bore, single fillet weld, small-bore high-pressure use case. 2) The 1/16-inch (1.6mm) gap-before-welding requirement — this is a genuine differentiator: explain WHY (thermal expansion during welding, socket cracking prevention) with a labeled diagram callout. This single technical point is under-covered by both Marcel and Viraj despite being the #1 field failure cause at socket welds. 3) Dimensional table (socket bore depends on matching pipe OD - note this varies by pipe schedule, unlike other types). 4) Weight chart. 5) Size range limitation (typically NPS 1/2 to 2, up to 4 in some specs) - explain why (turbulence/crevice corrosion risk at larger bores). 6) Material grades. 7) Standards. 8) QC/MTC. 9) FAQs. 10) CTA.</t>
  </si>
  <si>
    <t>Duplex 2205 Flanges</t>
  </si>
  <si>
    <t>Q: Why do I need a stabilized grade instead of plain 304/316?
A: Above roughly 425-815°C, unstabilized austenitic grades are vulnerable to sensitization even without welding - simply holding at that temperature range lets chromium carbides precipitate at grain boundaries. Titanium (321) or niobium (347) ties up the carbon preferentially, protecting the chromium and preserving corrosion resistance in sustained high-temperature service.
Q: 321 or 347 - which should I specify?
A: 347 (niobium-stabilized) is generally preferred for refinery and heat-exchanger applications requiring resistance to knife-line attack near welds; 321 (titanium-stabilized) is more common in aerospace-adjacent and general high-temp piping. Both perform similarly for most industrial furnace piping - check your project spec for a named preference.
[Expand to 8-15 total FAQs following this pattern - real procurement-engineer questions, real answers, no filler.]</t>
  </si>
  <si>
    <t>/materials/duplex-2205-flanges/</t>
  </si>
  <si>
    <t>Common dimensional table (shares OD/BCD/bolt with SO/WN/BL), Socket bore reference by pipe schedule, Weight chart</t>
  </si>
  <si>
    <t>Stainless Steel 316/316L Flanges; Power Generation Industry Page</t>
  </si>
  <si>
    <t>duplex 2205 flanges manufacturer india</t>
  </si>
  <si>
    <t>Q: Why must the pipe be backed out 1/16 inch before welding a socket weld flange?
A: Welding generates heat that expands the pipe. If the pipe end is bottomed out against the socket shoulder with zero clearance, that expansion has nowhere to go and can crack the socket base. The 1.6mm gap absorbs the expansion; closing this gap is one of the most common documented causes of socket weld failures in the field.
Q: What's the largest size available in socket weld?
A: Most specifications cap socket weld at NPS 2 due to crevice corrosion risk in the gap and turbulence at larger bores; some projects allow up to NPS 4 for utility (non-critical) service. Confirm against your project's piping class.
Q: Is socket weld suitable for cyclic or vibration service?
A: Generally not preferred - the fillet weld and inherent crevice at the gap make socket weld less fatigue-resistant than butt-welded connections. For high-cycle service, weld neck is typically specified even at small bore.
Q: Does socket weld require the same pipe schedule information as weld neck?
A: Yes - the socket bore must match your pipe OD exactly (not the nominal size), so confirm pipe schedule/wall thickness at order time.
[Expand to 8-15 total FAQs following this pattern - real procurement-engineer questions, real answers, no filler.]</t>
  </si>
  <si>
    <t>Threaded Flange; Weld Neck Flange; Chemical Processing Industry Page</t>
  </si>
  <si>
    <t>Super Duplex 2507 Flanges</t>
  </si>
  <si>
    <t>Duplex 2205 Flanges — ASTM A182 F51 (S31803/S32205)</t>
  </si>
  <si>
    <t>/materials/super-duplex-2507-flanges/</t>
  </si>
  <si>
    <t>Duplex 2205 Flange Manufacturer India | ASTM A182 F51</t>
  </si>
  <si>
    <t>super duplex 2507 flanges manufacturer india</t>
  </si>
  <si>
    <t>Duplex 2205 flange manufacturer, Mumbai. ASTM A182 F51, S31803/S32205, ~2x yield strength of 316L. All flange types, Class 150-2500. Quote in 30 min.</t>
  </si>
  <si>
    <t>Threaded Flange (TH) Manufacturer — No-Weld Connection</t>
  </si>
  <si>
    <t>Threaded Flange Manufacturer India | ASME B16.5 TH Flange</t>
  </si>
  <si>
    <t>Threaded flange manufacturer, Mumbai. NPT/BSP tapered threads, Class 150-2500, low-pressure &amp; fire-hazard-area service. MTC 3.1/3.2. Quote in 30 min.</t>
  </si>
  <si>
    <t>1) What duplex means metallurgically (~50/50 austenite-ferrite) and why it matters (strength + corrosion resistance combined). 2) S31803 vs S32205 - explicitly correct the common confusion (S32205 is the tighter modern chemistry, both marketed as "2205") with an accurate composition comparison — this is the exact spot where Marcel's published page has an error (impossible N range); get it right here as a genuine differentiator. 3) Chemical/mechanical tables (properly complete - yield, tensile, elongation, hardness, not just density like Marcel's page). 4) Sigma phase / max service temperature caution (avoid sustained use above ~315°C). 5) Applications (offshore, desalination, chemical processing). 6) All flange types. 7) QC/MTC/PMI (PMI is especially relevant for duplex — mix-up with 316 is a real field risk, mention it). 8) FAQs. 9) CTA.</t>
  </si>
  <si>
    <t>Super Duplex Zeron 100 Flanges</t>
  </si>
  <si>
    <t>Chemical composition (S31803 vs S32205 explicit comparison), Mechanical properties</t>
  </si>
  <si>
    <t>/materials/super-duplex-zeron-100-flanges/</t>
  </si>
  <si>
    <t>1) Definition, tapered internal threads, no-weld installation. 2) Where it's required (fire-hazard areas where hot work/welding is prohibited, field repairs, instrument/gauge connections). 3) Where it's restricted or prohibited (most piping codes limit or prohibit threaded connections in flammable/hazardous or thermally cycled service due to thread-leak risk) - be explicit and balanced, this is a genuine limitation buyers need. 4) Dimensional table (shares common OD/BCD/bolt with other types). 5) Thread standard cross-reference (NPT vs BSPT vs BSPP - which markets use which). 6) Material grades. 7) Standards. 8) QC. 9) FAQs. 10) CTA.</t>
  </si>
  <si>
    <t>super duplex zeron 100 flanges manufacturer india</t>
  </si>
  <si>
    <t>Common dimensional table, NPT vs BSPT vs BSPP thread comparison</t>
  </si>
  <si>
    <t>Q: Is Duplex 2205 the same as S31803 or S32205?
A: Both UNS numbers are sold commercially as "2205" and both fall under ASTM A182 Grade F51, but they're not identical: S32205 is the tighter, modern re-registration of the chemistry, with a higher nitrogen minimum (0.14% vs 0.08%) and narrower chromium/molybdenum ranges than the original S31803. Check your MTC for the specific UNS designation your project requires.
Q: Can duplex 2205 flanges be used above 315°C continuously?
A: Not recommended for sustained service - duplex stainless steels are susceptible to sigma-phase embrittlement in the 300-1000°C range with long exposure, which degrades toughness. Most specifications cap continuous duplex service around 300-315°C; consult your engineering specification for the exact limit on your project.
Q: Why is PMI testing particularly important for duplex flanges?
A: Duplex and 316 stainless can look visually similar and duplex costs meaningfully more, so mix-ups do happen in stock yards and during fabrication. Positive material identification (XRF or OES) at receiving and before installation is standard practice to confirm you actually received duplex, not 316.
[Expand to 8-15 total FAQs following this pattern - real procurement-engineer questions, real answers, no filler.]</t>
  </si>
  <si>
    <t>Super Duplex 2507 Flanges; Marine Industry Page; Chemical Processing Industry Page</t>
  </si>
  <si>
    <t>Q: Is a threaded flange allowed in flammable service?
A: Most piping codes (ASME B31.3 among them) prohibit or heavily restrict threaded connections in flammable, toxic, or high-temperature cyclic service because thread engagement can loosen or leak under thermal cycling and vibration. Threaded flanges are typically limited to low-pressure utility, instrument, and non-hazardous service.
Q: NPT or BSPT threads - which do I need?
A: NPT (National Pipe Taper) is the standard in North America and much of Asia's oil &amp; gas sector; BSPT (British Standard Pipe Taper) is common in Europe, the Middle East, and former British-influence markets. Confirm against your project's governing piping spec - the two are not interchangeable.
Q: Can a threaded flange be seal-welded after assembly for extra security?
A: Yes, this is common practice - a light fillet (seal) weld around the joint after threading, which improves leak-tightness without relying on the weld for structural strength. Specify this at order time if required.
[Expand to 8-15 total FAQs following this pattern - real procurement-engineer questions, real answers, no filler.]</t>
  </si>
  <si>
    <t>Alloy Steel F11/F22 Flanges</t>
  </si>
  <si>
    <t>Socket Weld Flange; Slip On Flange; Marine Industry Page</t>
  </si>
  <si>
    <t>/materials/alloy-steel-f11-f22-flanges/</t>
  </si>
  <si>
    <t>alloy steel f11/f22 flanges manufacturer india</t>
  </si>
  <si>
    <t>Super Duplex 2507 Flanges — ASTM A182 F53 (S32750)</t>
  </si>
  <si>
    <t>Super Duplex 2507 Flange Manufacturer | ASTM A182 F53 India</t>
  </si>
  <si>
    <t>Alloy Steel F91 Flanges</t>
  </si>
  <si>
    <t>Lap Joint Flange (LJ) Manufacturer — With Stub End</t>
  </si>
  <si>
    <t>Super duplex 2507 flange manufacturer, Mumbai. ASTM A182 F53, S32750, PREN 40+, seawater &amp; offshore grade. Class 150-2500. Quote in 30 minutes.</t>
  </si>
  <si>
    <t>/materials/alloy-steel-f91-flanges/</t>
  </si>
  <si>
    <t>Lap Joint Flange Manufacturer India | LJ Flange &amp; Stub End</t>
  </si>
  <si>
    <t>alloy steel f91 flanges manufacturer india</t>
  </si>
  <si>
    <t>1) What distinguishes "super" duplex from standard 2205 (higher Cr/Mo/N, PREN 40+). 2) Chemical/mechanical tables. 3) PREN explained with the actual formula and worked calculation for F53 (genuinely useful, rarely explained clearly by competitors). 4) Applications (seawater cooling, offshore, desalination). 5) Zeron 100 (F55) cross-reference/comparison (link). 6) All flange types. 7) QC/MTC/PMI. 8) FAQs. 9) CTA.</t>
  </si>
  <si>
    <t>Lap joint flange manufacturer, Mumbai. Free-rotating flange with stub end, ideal for CRA piping &amp; frequent dismantling. MTC 3.1/3.2. Quote in 30 min.</t>
  </si>
  <si>
    <t>Chemical composition, Mechanical properties, PREN worked calculation</t>
  </si>
  <si>
    <t>1) Definition, free rotation around stub end. 2) The real cost-saving use case: corrosion-resistant alloy piping where the stub end (wetted, expensive alloy) is paired with a cheaper carbon steel lap joint flange (not wetted) - explain the economics with a worked example. This is the single most valuable explainer for this page and neither Marcel nor Viraj frame it this way. 3) Stub end standard cross-reference (MSS SP-43 Type A/B). 4) Dimensional table. 5) When frequent dismantling matters (heat exchanger channel covers, filter housings). 6) Material grades (for both flange and stub end separately). 7) Standards. 8) FAQs. 9) CTA.</t>
  </si>
  <si>
    <t>Common dimensional table, Stub end dimensions (MSS SP-43 Type A/B)</t>
  </si>
  <si>
    <t>Inconel 625 Flanges</t>
  </si>
  <si>
    <t>Q: What is PREN and why does it matter for super duplex?
A: PREN (Pitting Resistance Equivalent Number) estimates a stainless steel's resistance to localized pitting corrosion, calculated as %Cr + 3.3x%Mo + 16x%N. Super duplex grades like F53 target a PREN above 40, meaningfully higher than standard 2205's ~35, which is why F53 is specified for more aggressive chloride environments like seawater cooling and desalination.
Q: Is super duplex 2507 always necessary, or is standard 2205 enough?
A: Standard 2205 (F51) handles most chemical processing and moderate marine exposure well. Reach for super duplex specifically when the environment is more aggressive - continuous seawater immersion, high-chloride produced water, or desalination brine - where the extra PREN margin genuinely changes service life.
[Expand to 8-15 total FAQs following this pattern - real procurement-engineer questions, real answers, no filler.]</t>
  </si>
  <si>
    <t>/materials/inconel-625-flanges/</t>
  </si>
  <si>
    <t>Duplex 2205 Flanges; Super Duplex Zeron 100 Flanges; Marine Industry Page</t>
  </si>
  <si>
    <t>inconel 625 flanges manufacturer india</t>
  </si>
  <si>
    <t>Q: Why use a lap joint flange instead of welding directly?
A: Two reasons: bolt-hole alignment becomes trivial since the flange rotates freely on the stub end, and — the bigger cost driver — you can pair an expensive corrosion-resistant alloy stub end (the only part touching the process fluid) with an inexpensive carbon steel lap joint flange, since the flange itself never contacts the process media.
Q: Does the lap joint flange need to be the same material as the stub end?
A: No, and that's the point - the stub end must match the piping material (it's wetted), but the flange, which only bears bolt load, can commonly be plain carbon steel even in a stainless or exotic-alloy piping system, cutting material cost significantly.
Q: What's the difference between MSS SP-43 Type A and Type B stub ends?
A: Type A has a longer, chamfered hub matching weld neck geometry for high-integrity service; Type B is shorter/lighter for lower-pressure, non-critical applications. Confirm against your project's stub end spec.
[Expand to 8-15 total FAQs following this pattern - real procurement-engineer questions, real answers, no filler.]</t>
  </si>
  <si>
    <t>Weld Neck Flange; Duplex 2205 Material Page; Chemical Processing Industry Page</t>
  </si>
  <si>
    <t>Hastelloy C-276 Flanges</t>
  </si>
  <si>
    <t>Super Duplex Zeron 100 Flanges — ASTM A182 F55 (S32760)</t>
  </si>
  <si>
    <t>/materials/hastelloy-c276-flanges/</t>
  </si>
  <si>
    <t>Zeron 100 Super Duplex Flange Manufacturer | ASTM A182 F55</t>
  </si>
  <si>
    <t>hastelloy c-276 flanges manufacturer india</t>
  </si>
  <si>
    <t>Super duplex Zeron 100 flange manufacturer, Mumbai. ASTM A182 F55, S32760, tungsten-enhanced pitting resistance. Class 150-2500. Quote in 30 min.</t>
  </si>
  <si>
    <t>1) What distinguishes F55/Zeron 100 from F53 (tungsten + copper additions). 2) Chemical/mechanical tables. 3) F53 vs F55 side-by-side comparison table (genuinely useful buyer decision content). 4) Applications (subsea, oilfield production). 5) All flange types. 6) QC/MTC/PMI. 7) FAQs. 8) CTA.</t>
  </si>
  <si>
    <t>Long Weld Neck Flange (LWN) Manufacturer</t>
  </si>
  <si>
    <t>Chemical composition, Mechanical properties, F53 vs F55 comparison</t>
  </si>
  <si>
    <t>Long Weld Neck Flange Manufacturer India | LWN Flange</t>
  </si>
  <si>
    <t>Monel 400 Flanges</t>
  </si>
  <si>
    <t>/materials/monel-400-flanges/</t>
  </si>
  <si>
    <t>Long weld neck flange manufacturer, Mumbai. Extended hub for vessel nozzles &amp; wall-thickness transitions. Class 150-2500, all grades. Quote in 30 min.</t>
  </si>
  <si>
    <t>monel 400 flanges manufacturer india</t>
  </si>
  <si>
    <t>1) Definition - extended hub vs standard weld neck, often integral with a nozzle or reducer. 2) Primary use case: pressure vessel and tank nozzles where the flange needs to project through insulation or a vessel wall. 3) How LWN differs dimensionally from standard WN (hub length is per-order/drawing, not a fixed B16.5 table value - be explicit that this is typically a to-drawing item, not a stock size, which is itself useful buyer information). 4) Shares OD/BCD/bolt circle with standard weld neck at the same class. 5) Material grades. 6) Standards. 7) FAQs. 8) CTA.</t>
  </si>
  <si>
    <t>Common dimensional table (OD/BCD/bolt, shared with WN)</t>
  </si>
  <si>
    <t>Standards</t>
  </si>
  <si>
    <t>ASME B16.5 Flange Standard</t>
  </si>
  <si>
    <t>/standards/asme-b16-5/</t>
  </si>
  <si>
    <t>Q: Is long weld neck a stocked size or a custom order?
A: Almost always custom - the hub length is driven by your vessel wall thickness, insulation thickness, or nozzle projection requirement and is specified per your drawing rather than pulled from a fixed ASME B16.5 table. Provide your GA/nozzle drawing for an accurate quote.
Q: What's the difference between LWN and a nozzle with a weld neck flange welded on?
A: A true long weld neck is typically forged or fabricated as a longer integral hub in one piece for structural continuity; a separately welded nozzle-plus-flange assembly introduces an additional weld joint. Which is appropriate depends on your vessel code (ASME Section VIII) and stress analysis.
[Expand to 8-15 total FAQs following this pattern - real procurement-engineer questions, real answers, no filler.]</t>
  </si>
  <si>
    <t>P2</t>
  </si>
  <si>
    <t>Weld Neck Flange; Power Generation Industry Page</t>
  </si>
  <si>
    <t>asme b16.5 flange standard manufacturer india</t>
  </si>
  <si>
    <t>1,200-1,800</t>
  </si>
  <si>
    <t>Q: F53 or F55 - what's the practical difference?
A: Both are super duplex grades with similar PREN and mechanical strength; F55 (Zeron 100) adds tungsten and copper, which some testing shows further improves resistance to crevice corrosion and hydrogen sulfide cracking in specific oilfield production environments. Grade selection is often driven by a specific operator's approved-materials list rather than a universal technical rule - check your project spec.
[Expand to 8-15 total FAQs following this pattern - real procurement-engineer questions, real answers, no filler.]</t>
  </si>
  <si>
    <t>Super Duplex 2507 Flanges; Oil &amp; Gas Industry Page</t>
  </si>
  <si>
    <t>ASME B16.47 Large Diameter Flange Standard</t>
  </si>
  <si>
    <t>Spectacle Blind Flange (Figure-8) Manufacturer</t>
  </si>
  <si>
    <t>/standards/asme-b16-47/</t>
  </si>
  <si>
    <t>Spectacle Blind Flange Manufacturer India | Figure-8 Blind</t>
  </si>
  <si>
    <t>asme b16.47 large diameter flange standard manufacturer india</t>
  </si>
  <si>
    <t>Spectacle blind flange manufacturer, Mumbai. Figure-8 positive isolation for hydrotest &amp; maintenance. Class 150-2500, all grades. Quote in 30 min.</t>
  </si>
  <si>
    <t>Alloy Steel F11/F22 Flanges — Cr-Mo High-Temperature Grade</t>
  </si>
  <si>
    <t>Alloy Steel F11 F22 Flange Manufacturer | High-Temp India</t>
  </si>
  <si>
    <t>1) Definition - figure-8 shaped plate, one solid disc (blind) and one open ring (spacer), connected by a web, rotated between two flanges for isolation. 2) Why it beats a standalone blind flange for repeated isolation cycles (no full bolt removal, faster changeover, lower risk of dropped hardware). 3) Handle/lifting lug design note (a real practical detail buyers ask about). 4) Dimensional table (shares blind flange's OD/thickness at the blind position). 5) Material grades. 6) Standards. 7) FAQs. 8) CTA.</t>
  </si>
  <si>
    <t>Alloy steel F11/F22 flange manufacturer, Mumbai. Cr-Mo grade for high-temp power &amp; refinery service, up to 593°C. Class 150-2500. Quote in 30 min.</t>
  </si>
  <si>
    <t>Blind-side dimensional reference (shares Blind Flange thickness/RF dia table)</t>
  </si>
  <si>
    <t>EN 1092-1 Flange Standard</t>
  </si>
  <si>
    <t>1) What Cr-Mo alloying does (creep resistance at elevated temperature vs plain carbon steel). 2) F11 (1.25Cr-0.5Mo) vs F22 (2.25Cr-1Mo) - when each applies. 3) Chemical/mechanical tables. 4) Post-weld heat treatment note (a genuine buyer-relevant detail - Cr-Mo steels typically require PWHT, unlike A105). 5) Applications (power generation, refinery high-temp circuits, reformer piping). 6) All flange types. 7) QC/MTC. 8) FAQs. 9) CTA.</t>
  </si>
  <si>
    <t>/standards/en-1092-1/</t>
  </si>
  <si>
    <t>Q: What's the difference between a spectacle blind and a paddle blind (spade)?
A: A spectacle blind has both the solid disc and the open spacer ring joined by a web, so the whole assembly stays captive between two line flanges and rotates in place. A paddle blind (spade) and its matching spacer ring are two separate pieces, requiring both to be swapped manually - simpler to fabricate but easier to misplace or install incorrectly.
Q: Does removing/reinstalling a spectacle blind require breaking both flange joints?
A: No - that's its core advantage. Loosen (not fully remove) the surrounding bolts, rotate the figure-8 plate 180 degrees to switch between the open and blind position, then re-torque. Much faster than swapping a standalone blind flange.
[Expand to 8-15 total FAQs following this pattern - real procurement-engineer questions, real answers, no filler.]</t>
  </si>
  <si>
    <t>Blind Flange; Oil &amp; Gas Industry Page</t>
  </si>
  <si>
    <t>en 1092-1 flange standard manufacturer india</t>
  </si>
  <si>
    <t>Q: When does a project need F11/F22 instead of A105?
A: Once sustained operating temperature exceeds roughly 400-450°C, A105's strength margin narrows enough that Cr-Mo alloy steel is typically specified for adequate creep resistance and long-term service life. F11 or F22 depends on the specific temperature/pressure combination in your P-T rating table.
Q: Do F11/F22 flanges require post-weld heat treatment?
A: In most cases yes - PWHT is typically required for Cr-Mo alloy steel welds to relieve residual stress and temper the heat-affected zone, unlike A105 which often doesn't require it below certain thickness. Confirm PWHT requirements against your governing code (ASME B31.1 or B31.3) and project specification.
[Expand to 8-15 total FAQs following this pattern - real procurement-engineer questions, real answers, no filler.]</t>
  </si>
  <si>
    <t>Alloy Steel F91 Flanges; Power Generation Industry Page</t>
  </si>
  <si>
    <t>DIN 2501 Flange Standard</t>
  </si>
  <si>
    <t>/standards/din-2501/</t>
  </si>
  <si>
    <t>din 2501 flange standard manufacturer india</t>
  </si>
  <si>
    <t>Alloy Steel F91 Flanges — 9Cr-1Mo-V, Ultra-Supercritical Grade</t>
  </si>
  <si>
    <t>Alloy Steel F91 Flange Manufacturer India | 9Cr-1Mo-V</t>
  </si>
  <si>
    <t>Alloy steel F91 flange manufacturer, Mumbai. Modified 9Cr-1Mo-V, ultra-supercritical power &amp; refinery fired-heater service to 650°C. Quote in 30 min.</t>
  </si>
  <si>
    <t>JIS B2220 Flange Standard</t>
  </si>
  <si>
    <t>1) What makes F91 different from F11/F22 (vanadium/niobium micro-alloying, normalize-and-temper requirement). 2) Chemical/mechanical tables. 3) Mandatory heat treatment note (normalizing + tempering is not optional for F91 - a genuine buyer-critical detail). 4) Applications (ultra-supercritical power plants, refinery fired heaters). 5) All flange types. 6) QC/MTC. 7) FAQs. 8) CTA.</t>
  </si>
  <si>
    <t>/standards/jis-b2220/</t>
  </si>
  <si>
    <t>jis b2220 flange standard manufacturer india</t>
  </si>
  <si>
    <t>Q: Why does F91 need a specific normalize-and-temper heat treatment?
A: F91's fine martensitic microstructure - the source of its high-temperature creep strength - only develops correctly through controlled normalizing followed by tempering. Skipping or mis-executing this heat treatment produces a flange that looks correct dimensionally and chemically but does not have the specified creep-rupture properties. Always request the heat treatment record on your MTC.
Q: Is F91 interchangeable with F22 at high temperature?
A: No - F91 is specified precisely because it out-performs F11/F22 at temperatures above roughly 550°C where those Cr-Mo grades' creep strength falls off. Substituting F22 for a design calling for F91 would under-rate the joint; confirm material grade against your P-T design basis, not just "alloy steel" generically.
[Expand to 8-15 total FAQs following this pattern - real procurement-engineer questions, real answers, no filler.]</t>
  </si>
  <si>
    <t>Alloy Steel F11/F22 Flanges; Power Generation Industry Page</t>
  </si>
  <si>
    <t>BS 10 / BS 4504 Flange Standard</t>
  </si>
  <si>
    <t>/standards/bs-10-bs-4504/</t>
  </si>
  <si>
    <t>bs 10 / bs 4504 flange standard manufacturer india</t>
  </si>
  <si>
    <t>Inconel 625 Flanges — ASTM B564 (UNS N06625)</t>
  </si>
  <si>
    <t>Industry</t>
  </si>
  <si>
    <t>Inconel 625 Flange Manufacturer India | ASTM B564 N06625</t>
  </si>
  <si>
    <t>Oil &amp; Gas Industry Flanges</t>
  </si>
  <si>
    <t>Inconel 625 flange manufacturer, Mumbai. ASTM B564, N06625, offshore riser &amp; chemical reactor grade. All flange types. MTC 3.1/3.2. Quote in 30 min.</t>
  </si>
  <si>
    <t>/industries/oil-and-gas/</t>
  </si>
  <si>
    <t>oil &amp; gas industry flanges manufacturer india</t>
  </si>
  <si>
    <t>1) What Inconel 625 is (Ni-Cr-Mo-Nb superalloy) and why it's specified over stainless or duplex. 2) Chemical/mechanical tables. 3) Applications (offshore riser flanges, chemical reactor nozzles, flue gas handling). 4) Cost/lead-time honesty note - nickel alloys are a significant cost step up, and this page should say so plainly rather than bury it, which builds trust with a technical buyer. 5) All flange types. 6) QC/MTC/PMI. 7) FAQs. 8) CTA.</t>
  </si>
  <si>
    <t>1,500-2,500</t>
  </si>
  <si>
    <t>Q: Why choose Inconel 625 over super duplex for a corrosive application?
A: Super duplex covers most chloride/seawater environments cost-effectively. Inconel 625 is reserved for more severe conditions - highly aggressive mixed acids, very high temperature combined with corrosion, or where duplex's sigma-phase temperature ceiling (~315°C) is a real constraint - since 625 remains stable and corrosion-resistant to much higher temperatures.
Q: Are Inconel 625 flanges significantly more expensive than stainless steel?
A: Yes, meaningfully - nickel alloy raw material cost and machining difficulty put Inconel 625 well above 316 or even duplex on a per-kg basis. It's specified where the corrosion/temperature environment genuinely requires it, not as a default upgrade.
[Expand to 8-15 total FAQs following this pattern - real procurement-engineer questions, real answers, no filler.]</t>
  </si>
  <si>
    <t>Pharmaceutical Industry Flanges</t>
  </si>
  <si>
    <t>Hastelloy C-276 Flanges; Chemical Processing Industry Page</t>
  </si>
  <si>
    <t>/industries/pharmaceutical/</t>
  </si>
  <si>
    <t>pharmaceutical industry flanges manufacturer india</t>
  </si>
  <si>
    <t>Hastelloy C-276 Flanges — ASTM B564 (UNS N10276)</t>
  </si>
  <si>
    <t>Power Generation Industry Flanges</t>
  </si>
  <si>
    <t>Hastelloy C276 Flange Manufacturer India | ASTM B564 N10276</t>
  </si>
  <si>
    <t>/industries/power-generation/</t>
  </si>
  <si>
    <t>Hastelloy C-276 flange manufacturer, Mumbai. ASTM B564, N10276, FGD &amp; wet chlorine grade, among the most corrosion-resistant alloys available. Quote in 30 min.</t>
  </si>
  <si>
    <t>power generation industry flanges manufacturer india</t>
  </si>
  <si>
    <t>1) What makes C-276 exceptional (very high Mo+W content, resists both oxidizing and reducing environments). 2) Chemical/mechanical tables. 3) Applications (FGD systems, waste-acid handling, wet chlorine). 4) Cost/lead-time honesty note. 5) All flange types. 6) QC/MTC/PMI. 7) FAQs. 8) CTA.</t>
  </si>
  <si>
    <t>Q: What environments specifically call for Hastelloy C-276 over Inconel 625?
A: Both are premium nickel alloys, but C-276's higher molybdenum and tungsten content gives it an edge in reducing acid environments and wet chlorine/hypochlorite service - flue gas desulfurization scrubbers and chlor-alkali plants are classic C-276 applications where 625 would be the second choice.
[Expand to 8-15 total FAQs following this pattern - real procurement-engineer questions, real answers, no filler.]</t>
  </si>
  <si>
    <t>Inconel 625 Flanges; Chemical Processing Industry Page</t>
  </si>
  <si>
    <t>Water Infrastructure Industry Flanges</t>
  </si>
  <si>
    <t>/industries/water-infrastructure/</t>
  </si>
  <si>
    <t>water infrastructure industry flanges manufacturer india</t>
  </si>
  <si>
    <t>Monel 400 Flanges — ASTM B564 (UNS N04400)</t>
  </si>
  <si>
    <t>Monel 400 Flange Manufacturer India | ASTM B564 N04400</t>
  </si>
  <si>
    <t>Monel 400 flange manufacturer, Mumbai. ASTM B564, N04400, hydrofluoric acid &amp; seawater grade. All flange types. MTC 3.1/3.2. Quote in 30 minutes.</t>
  </si>
  <si>
    <t>Marine Industry Flanges</t>
  </si>
  <si>
    <t>1) What Monel 400 is (Ni-Cu alloy) and its specific niche (HF acid resistance, seawater). 2) Chemical/mechanical tables. 3) Applications (HF alkylation units, marine systems). 4) All flange types. 5) QC/MTC/PMI. 6) FAQs. 7) CTA.</t>
  </si>
  <si>
    <t>/industries/marine/</t>
  </si>
  <si>
    <t>marine industry flanges manufacturer india</t>
  </si>
  <si>
    <t>Q: Why is Monel 400 specifically used in HF alkylation units?
A: Hydrofluoric acid attacks most stainless and even many nickel alloys over time, but Monel's high nickel-copper content forms a protective fluoride film in HF service specifically, making it one of the few economically viable materials for HF alkylation unit piping and flanges in refineries.
[Expand to 8-15 total FAQs following this pattern - real procurement-engineer questions, real answers, no filler.]</t>
  </si>
  <si>
    <t>Inconel 625 Flanges; Marine Industry Page</t>
  </si>
  <si>
    <t>Chemical Processing Industry Flanges</t>
  </si>
  <si>
    <t>/industries/chemical-processing/</t>
  </si>
  <si>
    <t>chemical processing industry flanges manufacturer india</t>
  </si>
  <si>
    <t>SUMMARY</t>
  </si>
  <si>
    <t>Total pages in scope:</t>
  </si>
  <si>
    <t>P0 pages:</t>
  </si>
  <si>
    <t>Standards Pages — Content Specs</t>
  </si>
  <si>
    <t>P1 pages:</t>
  </si>
  <si>
    <t>6 new pages (capped deliberately - see Tab 12 for why we did not build all 22 of Marcel's). Word count target: 1,200-1,800.</t>
  </si>
  <si>
    <t>P2 pages:</t>
  </si>
  <si>
    <t>ASME B16.5 Flange Standard — Complete Dimensional Reference</t>
  </si>
  <si>
    <t>ASME B16.5 Flange Dimensions | Complete Reference Chart</t>
  </si>
  <si>
    <t>ASME B16.5 flange standard explained: NPS 1/2-24, Class 150-2500, all 6 flange types, complete dimensional &amp; bolting reference. Sourced &amp; verified.</t>
  </si>
  <si>
    <t>1) What ASME B16.5 covers (scope: NPS 1/2-24, Class 150-2500, 6 flange types). 2) Pressure class quick-reference table (Tab 7 data). 3) Common dimensions table by class (the full, sourced Tab 7 data - this page becomes the most complete, accurate B16.5 reference available, beating both competitors on completeness AND accuracy). 4) How to read a B16.5 dimension table (parameter glossary: OD, BCD, RF dia, bolt hole dia, n). 5) Relationship to B16.47 (large diameter, 26-60 inch). 6) FAQs. 7) CTA with gated full-chart PDF download.</t>
  </si>
  <si>
    <t>Full common dimensions table, all 7 classes, all NPS (Tab 7 data)</t>
  </si>
  <si>
    <t>Q: What size range does ASME B16.5 cover?
A: NPS 1/2 inch through NPS 24 inch, across seven pressure classes: 150, 300, 400, 600, 900, 1500, and 2500. Larger diameters, NPS 26 and above, fall under the companion standard ASME B16.47 instead.
Q: Do all six flange types share the same outside diameter and bolt circle?
A: Yes, for a given NPS and class, slip-on, weld neck, blind, socket weld, threaded, and lap joint flanges all share identical outside diameter, bolt circle diameter, and bolt hole pattern, so they bolt up to any matching flange regardless of type. What differs between types is the hub and bore geometry, not the bolting.
Q: What's the difference between Class 400 and Class 300 in practice?
A: Class 400 sits between 300 and 600 but is rarely specified for new construction - it exists largely for compatibility with legacy ASME B16.1 cast iron flanges. Most new projects choose 300 or step directly to 600 rather than specifying 400.
[Expand to 8-15 total FAQs following this pattern - real procurement-engineer questions, real answers, no filler.]</t>
  </si>
  <si>
    <t>Weld Neck Flange; Blind Flange; ASME B16.47 Standards Page</t>
  </si>
  <si>
    <t>ASME B16.47 — Large Diameter Flange Standard (NPS 26-60)</t>
  </si>
  <si>
    <t>ASME B16.47 Flange Dimensions | Series A vs B Explained</t>
  </si>
  <si>
    <t>ASME B16.47 large diameter flange standard: NPS 26-60, Class 150-900, Series A vs Series B explained with the critical difference buyers must know.</t>
  </si>
  <si>
    <t>1) Scope (NPS 26-60, Class 150-900). 2) Series A (MSS SP-44) vs Series B (API 605) - this is the single highest-value explainer for this page: the two series are NOT interchangeable and mixing them is a real, documented field error. Explain clearly with a comparison table. 3) When each series is typically specified regionally/by industry. 4) Relationship to B16.5 (continuation above NPS 24). 5) FAQs. 6) CTA.</t>
  </si>
  <si>
    <t>Series A vs Series B comparison, dimensional differences by NPS</t>
  </si>
  <si>
    <t>Q: What's the critical difference between Series A and Series B flanges?
A: They are dimensionally different standards for the same nominal sizes - Series A (based on MSS SP-44) generally has a larger outside diameter and different bolting than Series B (based on API 605) at the same NPS and class. A Series A flange will NOT bolt up correctly to a Series B flange of the same nominal size - this mismatch is a documented, real field error, so the series must be specified explicitly on every purchase order, never assumed.
Q: Which series is more common - A or B?
A: It varies by industry and region rather than following a universal rule; refining and large-diameter transmission piping projects frequently specify one or the other by company standard. Always confirm the required series from your project's piping specification rather than defaulting.
[Expand to 8-15 total FAQs following this pattern - real procurement-engineer questions, real answers, no filler.]</t>
  </si>
  <si>
    <t>ASME B16.5 Standards Page; Power Generation Industry Page</t>
  </si>
  <si>
    <t>EN 1092-1 European Flange Standard — PN Rating Explained</t>
  </si>
  <si>
    <t>EN 1092-1 Flange Standard | PN Rating vs ASME Class</t>
  </si>
  <si>
    <t>EN 1092-1 European flange standard explained: PN 2.5-400, DN 10-4000, Type 01-13, with a direct PN-to-ASME-Class cross-reference for export buyers.</t>
  </si>
  <si>
    <t>1) Scope (DN 10-2000+, PN 2.5-400). 2) PN rating explained (it's a designation, not a literal pressure, same caveat as ASME Class - draw the parallel explicitly). 3) PN-to-ASME-Class approximate cross-reference table (genuinely useful for export buyers converting between standards - the single highest-value table on this page). 4) Type 01/02/11/etc. flange type codes explained. 5) FAQs. 6) CTA.</t>
  </si>
  <si>
    <t>PN-to-ASME Class cross-reference, DN-to-NPS cross-reference</t>
  </si>
  <si>
    <t>Q: Is PN16 the same pressure rating as ASME Class 150?
A: They're commonly treated as roughly equivalent for general reference, but PN and Class ratings are each their own dimensional and pressure-temperature system - the actual allowable pressure at a given temperature depends on material group under each standard separately. Use a proper cross-reference for the specific material and temperature, not a straight PN-to-Class substitution, when the application is pressure-critical.
Q: Can I bolt an EN 1092-1 flange to an ASME B16.5 flange?
A: Not directly in most cases - bolt circle diameter, number of bolts, and bolt hole diameter differ between the two standards even at nominally "equivalent" ratings. A reducing or transition spool is typically required to mate EN and ASME flanges; don't assume compatibility without checking both dimension tables.
[Expand to 8-15 total FAQs following this pattern - real procurement-engineer questions, real answers, no filler.]</t>
  </si>
  <si>
    <t>ASME B16.5 Standards Page; Marine Industry Page</t>
  </si>
  <si>
    <t>DIN 2501 Flange Standard — Legacy German Reference</t>
  </si>
  <si>
    <t>DIN 2501 Flange Standard | Superseded by EN 1092-1</t>
  </si>
  <si>
    <t>DIN 2501 flange standard explained, including why it's been formally superseded by EN 1092-1 and what that means for buyers still referencing DIN.</t>
  </si>
  <si>
    <t>1) What DIN 2501 originally covered, and the honest, upfront fact that it has been formally superseded by EN 1092-1 - stating this clearly (rather than pretending DIN 2501 is a current active standard, which several competitor pages do) is itself the differentiator. 2) DIN-to-EN 1092-1 dimensional continuity (dimensions carried forward largely unchanged). 3) Why buyers still reference "DIN flanges" by habit. 4) FAQs. 5) CTA.</t>
  </si>
  <si>
    <t>DIN-to-EN 1092-1 continuity reference</t>
  </si>
  <si>
    <t>Q: Is DIN 2501 still a current, active standard?
A: No - DIN 2501 was formally superseded by EN 1092-1, which is now the current European flange standard. The dimensions carried forward largely unchanged, which is why "DIN flange" remains common shorthand in the industry, but purchase orders and drawings should reference EN 1092-1 as the governing document today.
[Expand to 8-15 total FAQs following this pattern - real procurement-engineer questions, real answers, no filler.]</t>
  </si>
  <si>
    <t>EN 1092-1 Standards Page</t>
  </si>
  <si>
    <t>JIS B2220 Flange Standard — Japanese Reference</t>
  </si>
  <si>
    <t>JIS B2220 Flange Standard | 5K 10K 16K 20K Explained</t>
  </si>
  <si>
    <t>JIS B2220 Japanese flange standard: 5K/10K/16K/20K pressure classes explained, with dimensions for buyers supplying into Japanese-spec projects.</t>
  </si>
  <si>
    <t>1) Scope and the 5K/10K/16K/20K class-designation system explained (the "K" roughly indicates bar pressure, worth spelling out plainly). 2) Where JIS-spec material is required (Japanese EPC contractors, Japan-linked projects across Southeast Asia). 3) JIS-to-ASME approximate cross-reference. 4) FAQs. 5) CTA.</t>
  </si>
  <si>
    <t>JIS class to ASME/PN cross-reference</t>
  </si>
  <si>
    <t>Q: What does the "K" mean in JIS 10K, 16K, etc.?
A: It's a class designation rooted in the approximate rated pressure in kgf/cm2, similar in spirit to how ASME's "Class 150/300" are designations rather than literal pressures. 10K is a common general-service rating, comparable in the range of ASME Class 150-300 depending on material and temperature - confirm against the actual JIS B2220 pressure-temperature tables for your material rather than a rule of thumb.
[Expand to 8-15 total FAQs following this pattern - real procurement-engineer questions, real answers, no filler.]</t>
  </si>
  <si>
    <t>BS 10 &amp; BS 4504 Flange Standards — British Reference</t>
  </si>
  <si>
    <t>BS 10 BS 4504 Flange Standard | Table D E F Explained</t>
  </si>
  <si>
    <t>BS 10 and BS 4504 British flange standards explained: Table D/E/F classes, and the fact that BS 4504 is now superseded by EN 1092-1.</t>
  </si>
  <si>
    <t>1) BS 10 (older, Table D/E/F classes, still specified for some waterworks/legacy projects) vs BS 4504 (superseded by EN 1092-1, same honest disclosure approach as the DIN 2501 page). 2) Table D/E/F explained. 3) Where BS 10 is still actively specified (former-Commonwealth market legacy infrastructure). 4) FAQs. 5) CTA.</t>
  </si>
  <si>
    <t>BS Table D/E/F reference</t>
  </si>
  <si>
    <t>Q: Is BS 4504 still current, or has it been replaced?
A: BS 4504 has been superseded by EN 1092-1, the current British and European standard. BS 10, an older and distinct standard using Table D/E/F class designations, is still occasionally specified for legacy waterworks and some former-Commonwealth market projects - the two (BS 10 and BS 4504) are separate standards, not versions of each other.
[Expand to 8-15 total FAQs following this pattern - real procurement-engineer questions, real answers, no filler.]</t>
  </si>
  <si>
    <t>EN 1092-1 Standards Page; Water Infrastructure Industry Page</t>
  </si>
  <si>
    <t>Industry Pages — Content Specs</t>
  </si>
  <si>
    <t>Chemical Composition &amp; Mechanical Properties</t>
  </si>
  <si>
    <t>Dimensional &amp; Weight Data Tables</t>
  </si>
  <si>
    <t>12 material grades. SOURCE: governing ASTM/ASME specification per grade (see Tab 13). Values are specification limits, not heat-specific results — direct readers to their MTC for the actual heat.</t>
  </si>
  <si>
    <t>6 new pages, already outlined in RemaxForge_SEO_LeadGen_Master_Plan.xlsx Sheet 7. Word count target: 1,500-2,500. NOTE: rows containing [OPS INPUT NEEDED] FAQ answers must not be published until Akshat/ops confirms the underlying claim.</t>
  </si>
  <si>
    <t>Grade</t>
  </si>
  <si>
    <t>UNS</t>
  </si>
  <si>
    <t>Governing Standard</t>
  </si>
  <si>
    <t>SOURCE: ASME B16.5-2022 (cross-verified: Engineering ToolBox + API International, Inc. + HT Pipe). See Tab 13 for full citations. GREEN = verified, ready to publish.</t>
  </si>
  <si>
    <t>Chemical Composition (wt %)</t>
  </si>
  <si>
    <t>Mechanical Properties</t>
  </si>
  <si>
    <t>Notes</t>
  </si>
  <si>
    <t>Carbon Steel A105</t>
  </si>
  <si>
    <t>SECTION A — PRESSURE CLASS QUICK REFERENCE</t>
  </si>
  <si>
    <t>K03504</t>
  </si>
  <si>
    <t>ASTM A105 / ASME SA-105</t>
  </si>
  <si>
    <t>Pipe Flanges &amp; Fittings for Oil &amp; Gas — Upstream to Downstream</t>
  </si>
  <si>
    <t>C: 0.35 max; Mn: 0.60-1.05; Si: 0.10-0.35; P: 0.035 max; S: 0.040 max; Cr: 0.30 max (residual); Mo: 0.12 max (residual); Ni: 0.40 max (residual); Cu: 0.40 max (residual)</t>
  </si>
  <si>
    <t>Oil &amp; Gas Flange Supplier India | NACE MR0175 Sour Service</t>
  </si>
  <si>
    <t>Yield: 250 min MPa; Tensile: 485 min MPa; Elongation: 22% min; Hardness: 187 HBW max; Service temp: -29°C to 427°C (up to 800°F)</t>
  </si>
  <si>
    <t>Flanges &amp; fittings for oil &amp; gas: upstream, midstream, downstream. NACE MR0175 sour service, duplex/super duplex, third-party inspection. Quote in 30 min.</t>
  </si>
  <si>
    <t>Most widely used forged carbon steel flange material. Not recommended below -29°C without impact testing.</t>
  </si>
  <si>
    <t>1) Products used across upstream/midstream/downstream, each linked to the relevant type page. 2) NACE MR0175 sour-service capability explained (what it requires - hardness limits, B7M bolting - not just the acronym). 3) Material grades for H2S/high-temp service (link duplex, F91). 4) Client proof — this cell is YELLOW-FLAGGED, real client/project references only, confirmed by Akshat/ops before publishing. 5) Certifications. 6) RFQ form with "Project requirement" field. 7) FAQs (5+). 8) CTA.</t>
  </si>
  <si>
    <t>Not applicable (landing page, links to product/material tables)</t>
  </si>
  <si>
    <t>Carbon Steel A350 LF2</t>
  </si>
  <si>
    <t>K03011</t>
  </si>
  <si>
    <t>Class</t>
  </si>
  <si>
    <t>ASTM A350 / ASME SA-350</t>
  </si>
  <si>
    <t>Q: What does NACE MR0175 sour-service compliance actually require?
A: It sets hardness limits on both the flange material and the bolting to resist sulfide stress cracking in H2S-containing service - for bolting specifically, this typically means B7M (a softer, controlled-hardness version of standard B7) rather than standard B7 studs. Confirm your project's specific NACE MR0175/ISO 15156 compliance requirements at order time.
Q: Which flange materials suit sour (H2S) service?
A: Carbon steel A105 and Cr-Mo alloys can be qualified for sour service with the correct heat treatment and hardness control; for more aggressive sour/high-chloride combined environments, duplex or super duplex grades are frequently specified instead.
[Expand to 8-15 total FAQs following this pattern - real procurement-engineer questions, real answers, no filler.]</t>
  </si>
  <si>
    <t>C: 0.30 max; Mn: 0.60-1.35; Si: 0.15-0.30; P: 0.035 max; S: 0.040 max; Cr: 0.30 max (residual); Mo: 0.12 max (residual); Ni: 0.40 max (residual)</t>
  </si>
  <si>
    <t>Weld Neck Flange; Duplex 2205 Material Page; ASME B16.5 Standards Page</t>
  </si>
  <si>
    <t>Yield: 250 min MPa; Tensile: 485-655 MPa; Elongation: 22% min; Hardness: 197 HBW max; Service temp: -46°C to 343°C (-50°F to 650°F)</t>
  </si>
  <si>
    <t>Max Pressure (A105, ambient)</t>
  </si>
  <si>
    <t>Low-temperature carbon steel. Mandatory Charpy V-notch impact testing at the design minimum temperature per ASME B31.3.</t>
  </si>
  <si>
    <t>Typical Service</t>
  </si>
  <si>
    <t>Stainless Steel 304/304L</t>
  </si>
  <si>
    <t>S30400 / S30403</t>
  </si>
  <si>
    <t>ASTM A182 Gr. F304/F304L</t>
  </si>
  <si>
    <t>C: 0.08 max (F304) / 0.030 max (F304L); Mn: 2.00 max; Si: 1.00 max; P: 0.045 max; S: 0.030 max; Cr: 18.0-20.0; Ni: 8.0-11.0 (F304) / 8.0-13.0 (F304L)</t>
  </si>
  <si>
    <t>Yield: 205 min (F304) / 170 min (F304L) MPa; Tensile: 515 min (F304) / 485 min (F304L) MPa; Elongation: 35% min; Hardness: 92 HRB max; Service temp: Cryogenic to 800°C</t>
  </si>
  <si>
    <t>Pipe Flanges &amp; Fittings for Pharmaceutical &amp; Biotech</t>
  </si>
  <si>
    <t>General-purpose austenitic stainless. F304L (low carbon) preferred for welded construction to avoid sensitization/carbide precipitation.</t>
  </si>
  <si>
    <t>Pharmaceutical Flange Supplier India | SS 316L Sanitary Grade</t>
  </si>
  <si>
    <t>Flanges &amp; fittings for pharma/biotech: SS 316L, sanitary finish options, full MTC traceability. Third-party inspection available. Quote in 30 minutes.</t>
  </si>
  <si>
    <t>Stainless Steel 316/316L</t>
  </si>
  <si>
    <t>S31600 / S31603</t>
  </si>
  <si>
    <t>ASTM A182 Gr. F316/F316L</t>
  </si>
  <si>
    <t>1) Why 316L dominates pharma piping (corrosion resistance + weldability + traceability). 2) Surface finish considerations (mechanically polished vs electropolished - honest note that Remax's standard offering is not a validated sanitary/hygienic product line unless explicitly stated - don't overclaim). 3) Full MTC/heat traceability requirement in pharma procurement. 4) Certifications. 5) RFQ form. 6) FAQs. 7) CTA.</t>
  </si>
  <si>
    <t>Not applicable (landing page)</t>
  </si>
  <si>
    <t>C: 0.08 max (F316) / 0.030 max (F316L); Mn: 2.00 max; Si: 1.00 max; P: 0.045 max; S: 0.030 max; Cr: 16.0-18.0; Mo: 2.00-3.00; Ni: 10.0-14.0 (F316) / 10.0-15.0 (F316L)</t>
  </si>
  <si>
    <t>Yield: 205 min (F316) / 170 min (F316L) MPa; Tensile: 515 min (F316) / 485 min (F316L) MPa; Elongation: 35% min; Hardness: 95 HRB max; Service temp: Cryogenic to 800°C</t>
  </si>
  <si>
    <t>Q: Is a standard forged 316L flange suitable for a sanitary/hygienic pharma line?
A: A standard forged flange provides the corrosion-resistant material and traceability pharma buyers need, but true sanitary/hygienic piping (tri-clamp fittings, mirror-polished bore, specific Ra surface finish) is a distinct product category with its own standards. Confirm your specific finish and fitting-type requirement before ordering if the application is a direct product-contact sanitary line.
[Expand to 8-15 total FAQs following this pattern - real procurement-engineer questions, real answers, no filler.]</t>
  </si>
  <si>
    <t>Molybdenum addition gives superior chloride/pitting resistance vs 304. Standard choice for chemical process, marine, pharma.</t>
  </si>
  <si>
    <t>150</t>
  </si>
  <si>
    <t>Stainless Steel 321/347</t>
  </si>
  <si>
    <t>285 psi / 19.6 bar</t>
  </si>
  <si>
    <t>General service, water, air, low-pressure utility</t>
  </si>
  <si>
    <t>S32100 / S34700</t>
  </si>
  <si>
    <t>ASTM A182 Gr. F321/F347</t>
  </si>
  <si>
    <t>C: 0.08 max; Mn: 2.00 max; Si: 1.00 max; P: 0.045 max; S: 0.030 max; Cr: 17.0-19.0 (F321) / 17.0-19.0 (F347); Ni: 9.0-12.0 (F321) / 9.0-13.0 (F347); Ti: 5x C min, 0.70 max (F321); Nb+Ta: 10x C min, 1.10 max (F347)</t>
  </si>
  <si>
    <t>300</t>
  </si>
  <si>
    <t>Yield: 205 min MPa; Tensile: 515 min MPa; Elongation: 35% min; Hardness: 92 HRB max; Service temp: Up to 800°C sustained (stabilized grades)</t>
  </si>
  <si>
    <t>740 psi / 51.0 bar</t>
  </si>
  <si>
    <t>Medium pressure, oil &amp; gas, process piping</t>
  </si>
  <si>
    <t>Ti (F321) or Nb (F347) stabilized against sensitization in the 425-815°C range. F347 preferred for refinery furnace/heat exchanger outlet piping.</t>
  </si>
  <si>
    <t>Duplex 2205 (F51)</t>
  </si>
  <si>
    <t>400</t>
  </si>
  <si>
    <t>S31803 / S32205</t>
  </si>
  <si>
    <t>980 psi / 67.6 bar</t>
  </si>
  <si>
    <t>ASTM A182 Gr. F51</t>
  </si>
  <si>
    <t>High pressure (rarely specified for new designs; legacy compatibility)</t>
  </si>
  <si>
    <t>C: 0.030 max; Mn: 2.00 max; Si: 1.00 max; P: 0.030 max; S: 0.020 max; Cr: 21.0-23.0 (S31803) / 22.0-23.0 (S32205); Mo: 2.50-3.50 (S31803) / 3.00-3.50 (S32205); Ni: 4.50-6.50; N: 0.08-0.20 (S31803) / 0.14-0.20 (S32205)</t>
  </si>
  <si>
    <t>Yield: 450 min MPa; Tensile: 620 min MPa; Elongation: 25% min; Hardness: 293 HBW max; Service temp: -50°C to 315°C (avoid above 315°C - sigma phase risk)</t>
  </si>
  <si>
    <t>Roughly 2x the yield strength of 316L with better chloride SCC resistance. Note: S32205 is the tighter modern re-registration of S31803 - both are commonly sold as "2205."</t>
  </si>
  <si>
    <t>600</t>
  </si>
  <si>
    <t>Super Duplex 2507 (F53)</t>
  </si>
  <si>
    <t>Stainless Steel 316/316L Material Page; Stainless Steel 304/304L Material Page</t>
  </si>
  <si>
    <t>S32750</t>
  </si>
  <si>
    <t>1,480 psi / 102 bar</t>
  </si>
  <si>
    <t>ASTM A182 Gr. F53</t>
  </si>
  <si>
    <t>High-pressure steam, chemical processing</t>
  </si>
  <si>
    <t>C: 0.030 max; Mn: 1.20 max; Si: 0.80 max; P: 0.035 max; S: 0.020 max; Cr: 24.0-26.0; Mo: 3.0-5.0; Ni: 6.0-8.0; N: 0.24-0.32; Cu: 0.50 max</t>
  </si>
  <si>
    <t>Yield: 550 min MPa; Tensile: 795 min MPa; Elongation: 15% min; Hardness: 310 HBW max; Service temp: -50°C to 250°C (avoid above 300°C sustained)</t>
  </si>
  <si>
    <t>PREN &gt;= 40. Specified for aggressive chloride service - seawater cooling, offshore, desalination.</t>
  </si>
  <si>
    <t>900</t>
  </si>
  <si>
    <t>2,220 psi / 153 bar</t>
  </si>
  <si>
    <t>Super Duplex Zeron 100 (F55)</t>
  </si>
  <si>
    <t>Critical service, high temperature</t>
  </si>
  <si>
    <t>S32760</t>
  </si>
  <si>
    <t>ASTM A182 Gr. F55</t>
  </si>
  <si>
    <t>Pipe Flanges &amp; Fittings for Power Generation</t>
  </si>
  <si>
    <t>C: 0.030 max; Mn: 1.00 max; Si: 1.00 max; P: 0.030 max; S: 0.010 max; Cr: 24.0-26.0; Mo: 3.0-4.0; Ni: 6.0-8.0; N: 0.20-0.30; Cu: 0.50-1.00; W: 0.50-1.00</t>
  </si>
  <si>
    <t>Power Plant Flange Supplier India | F11 F22 F91 Alloy Steel</t>
  </si>
  <si>
    <t>1500</t>
  </si>
  <si>
    <t>Yield: 550 min MPa; Tensile: 750 min MPa; Elongation: 25% min; Hardness: 310 HBW max; Service temp: -50°C to 250°C</t>
  </si>
  <si>
    <t>3,705 psi / 255 bar</t>
  </si>
  <si>
    <t>Flanges &amp; fittings for power generation: thermal, nuclear-adjacent balance-of-plant, F11/F22/F91 alloy steel for high-temp steam service. Quote in 30 min.</t>
  </si>
  <si>
    <t>Severe service, power plant, wellhead</t>
  </si>
  <si>
    <t>Tungsten addition improves pitting resistance further vs F53. Common in subsea and oil-field production equipment.</t>
  </si>
  <si>
    <t>1) High-temperature steam piping requirements (link F11/F22/F91 material pages). 2) Long weld neck use in boiler/turbine nozzle connections (link). 3) Where Remax's scope sits (balance-of-plant, not nuclear primary loop - be explicit and accurate about scope rather than implying capability that isn't real). 4) Certifications. 5) RFQ form. 6) FAQs. 7) CTA.</t>
  </si>
  <si>
    <t>Alloy Steel F11/F22</t>
  </si>
  <si>
    <t>2500</t>
  </si>
  <si>
    <t>K11572 (F11) / K21590 (F22)</t>
  </si>
  <si>
    <t>6,170 psi / 425 bar</t>
  </si>
  <si>
    <t>ASTM A182 Gr. F11/F22</t>
  </si>
  <si>
    <t>Ultra-high pressure (defined up to NPS 12 only)</t>
  </si>
  <si>
    <t>Q: What flange materials suit ultra-supercritical power plant steam lines?
A: F91 (modified 9Cr-1Mo-V) is the standard choice for the highest-temperature ultra-supercritical steam circuits, up to roughly 650°C; F11/F22 Cr-Mo grades cover more moderate elevated-temperature sections. Material selection should follow your plant's specific P-T design basis, not a general rule.
[Expand to 8-15 total FAQs following this pattern - real procurement-engineer questions, real answers, no filler.]</t>
  </si>
  <si>
    <t>C: 0.05-0.20; Mn: 0.30-0.80 (F11) / 0.30-0.60 (F22); Si: 0.50-1.00 (F11) / 0.50 max (F22); P: 0.030 max; S: 0.030 max; Cr: 1.00-1.50 (F11) / 2.00-2.50 (F22); Mo: 0.44-0.65 (F11) / 0.87-1.13 (F22)</t>
  </si>
  <si>
    <t>Alloy Steel F91 Material Page; Long Weld Neck Flange</t>
  </si>
  <si>
    <t>Yield: 205 min (Class 2) MPa; Tensile: 415-585 (F11) / 415-590 (F22) MPa; Elongation: 20% min; Hardness: 197 HBW max; Service temp: Up to 593°C</t>
  </si>
  <si>
    <t>Cr-Mo low-alloy steels for elevated-temperature service. Standard in power generation and refinery high-temp circuits.</t>
  </si>
  <si>
    <t>SECTION B — COMMON FLANGE DIMENSIONS (Slip-On / Weld Neck / Blind / Socket Weld / Threaded / Lap Joint share these OD, bolt circle, and bolt-hole values for a given NPS + Class)</t>
  </si>
  <si>
    <t>Alloy Steel F91</t>
  </si>
  <si>
    <t>K91560</t>
  </si>
  <si>
    <t>NPS</t>
  </si>
  <si>
    <t>Pipe Flanges &amp; Fittings for Water &amp; Wastewater Infrastructure</t>
  </si>
  <si>
    <t>ASTM A182 Gr. F91</t>
  </si>
  <si>
    <t>OD (in)</t>
  </si>
  <si>
    <t>Water Infrastructure Flange Supplier India | AWWA &amp; B16.5</t>
  </si>
  <si>
    <t>Bolt Circle (in)</t>
  </si>
  <si>
    <t>C: 0.08-0.12; Mn: 0.30-0.60; Si: 0.20-0.50; P: 0.020 max; S: 0.010 max; Cr: 8.0-9.5; Mo: 0.85-1.05; Ni: 0.40 max; V: 0.18-0.25; Nb: 0.06-0.10; N: 0.030-0.070</t>
  </si>
  <si>
    <t>No. Bolts</t>
  </si>
  <si>
    <t>Flanges &amp; fittings for water treatment, distribution, and wastewater: carbon steel &amp; stainless, AWWA and ASME B16.5 compliant. Quote in 30 minutes.</t>
  </si>
  <si>
    <t>Yield: 415 min MPa; Tensile: 585-760 MPa; Elongation: 20% min; Hardness: 250 HBW max; Service temp: Up to 650°C (1,200°F)</t>
  </si>
  <si>
    <t>Bolt Size</t>
  </si>
  <si>
    <t>Bolt Hole Dia (in)</t>
  </si>
  <si>
    <t>Modified 9Cr-1Mo-V. Requires normalize-and-temper heat treatment; increasingly specified in ultra-supercritical power and refinery fired-heater piping.</t>
  </si>
  <si>
    <t>1) Products used in water treatment, distribution mains, wastewater (link blind, slip-on pages). 2) AWWA vs ASME B16.5 flange standard note - honest disclosure that Remax's current standard offering is ASME B16.5; if AWWA-specific flanges aren't currently produced, say so rather than imply coverage (Section 3.7 quality bar applies here directly). 3) Certifications. 4) RFQ form. 5) FAQs. 6) CTA.</t>
  </si>
  <si>
    <t>1/2</t>
  </si>
  <si>
    <t>Inconel 625</t>
  </si>
  <si>
    <t>Q: Do you supply AWWA-standard flanges, or only ASME B16.5?
A: [OPS INPUT NEEDED - confirm actual product scope before publishing this FAQ answer. Do not publish an unconfirmed capability claim.]
[Expand to 8-15 total FAQs following this pattern - real procurement-engineer questions, real answers, no filler.]</t>
  </si>
  <si>
    <t>N06625</t>
  </si>
  <si>
    <t>Blind Flange; Slip On Flange; Carbon Steel Material Page</t>
  </si>
  <si>
    <t>ASTM B564 / AMS 5666</t>
  </si>
  <si>
    <t>Ni: 58.0 min; Cr: 20.0-23.0; Mo: 8.0-10.0; Nb+Ta: 3.15-4.15; Fe: 5.0 max; C: 0.10 max; Mn: 0.50 max; Si: 0.50 max</t>
  </si>
  <si>
    <t>Yield: 414 min (annealed) MPa; Tensile: 827 min MPa; Elongation: 30% min; Hardness: 220 HBW max; Service temp: Cryogenic to 980°C</t>
  </si>
  <si>
    <t>3/4</t>
  </si>
  <si>
    <t>Exceptional resistance to pitting, crevice corrosion, and oxidizing/reducing acids. Offshore riser and chemical reactor nozzle flanges.</t>
  </si>
  <si>
    <t>Hastelloy C-276</t>
  </si>
  <si>
    <t>N10276</t>
  </si>
  <si>
    <t>ASTM B564</t>
  </si>
  <si>
    <t>Pipe Flanges &amp; Fittings for Marine &amp; Offshore</t>
  </si>
  <si>
    <t>Ni: balance (~57%); Cr: 14.5-16.5; Mo: 15.0-17.0; Fe: 4.0-7.0; W: 3.0-4.5; C: 0.02 max; Co: 2.5 max; Mn: 1.0 max</t>
  </si>
  <si>
    <t>Marine Flange Supplier India | Duplex &amp; 316 for Seawater</t>
  </si>
  <si>
    <t>1</t>
  </si>
  <si>
    <t>Yield: 283 min (annealed) MPa; Tensile: 690 min MPa; Elongation: 40% min; Hardness: 100 HRB max; Service temp: Cryogenic to 1,090°C</t>
  </si>
  <si>
    <t>Among the most corrosion-resistant alloys commercially available. FGD systems, waste-acid handling, wet chlorine.</t>
  </si>
  <si>
    <t>Flanges &amp; fittings for marine/offshore: duplex, super duplex, and 316 stainless for seawater service. Third-party inspection. Quote in 30 minutes.</t>
  </si>
  <si>
    <t>Monel 400</t>
  </si>
  <si>
    <t>N04400</t>
  </si>
  <si>
    <t>1) Products and materials for seawater/marine exposure (link duplex, super duplex, 316 pages - this is a genuinely strong internal-linking hub page). 2) Classification society certification note - honest disclosure of what certifications Remax currently holds vs what a marine buyer might expect (DNV, ABS, Lloyd's type-approval) - flag for ops confirmation, do not assume. 3) RFQ form. 4) FAQs. 5) CTA.</t>
  </si>
  <si>
    <t>1-1/4</t>
  </si>
  <si>
    <t>Ni: 63.0 min; Cu: 28.0-34.0; Fe: 2.5 max; Mn: 2.0 max; C: 0.30 max; Si: 0.50 max; S: 0.024 max</t>
  </si>
  <si>
    <t>Yield: 240 min (annealed) MPa; Tensile: 480-620 MPa; Elongation: 35% min; Hardness: 150 HB max; Service temp: Cryogenic to 480°C</t>
  </si>
  <si>
    <t>Exceptional resistance to hydrofluoric acid and seawater. HF alkylation units and marine systems.</t>
  </si>
  <si>
    <t>Q: Do your flanges carry classification society approval (DNV, ABS, Lloyd's)?
A: [OPS INPUT NEEDED - confirm actual certification status before publishing. Do not publish an unconfirmed claim.]
[Expand to 8-15 total FAQs following this pattern - real procurement-engineer questions, real answers, no filler.]</t>
  </si>
  <si>
    <t>Duplex 2205 Material Page; Super Duplex 2507 Material Page; Stainless Steel 316 Material Page</t>
  </si>
  <si>
    <t>1-1/2</t>
  </si>
  <si>
    <t>2</t>
  </si>
  <si>
    <t>5/8</t>
  </si>
  <si>
    <t>Pipe Flanges &amp; Fittings for Chemical Processing</t>
  </si>
  <si>
    <t>Chemical Processing Flange Supplier India | 316L, Hastelloy, Inconel</t>
  </si>
  <si>
    <t>2-1/2</t>
  </si>
  <si>
    <t>Flanges &amp; fittings for chemical processing: 316L, Hastelloy C-276, Inconel 625 for aggressive media. Full MTC traceability. Quote in 30 minutes.</t>
  </si>
  <si>
    <t>1) Products and materials across the corrosion-resistance spectrum, from 316L up to Hastelloy/Inconel (link all relevant material pages - this page is the natural hub for the nickel-alloy pages). 2) Material selection guidance framed by chemical service (acid type, temperature) rather than just a product list. 3) RFQ form. 4) FAQs. 5) CTA.</t>
  </si>
  <si>
    <t>Q: How do I choose between 316L, duplex, and a nickel alloy for a chemical line?
A: As a general progression: 316L covers most general chemical service; move to duplex or super duplex when chlorides or higher mechanical strength are the driver; reserve nickel alloys (Inconel, Hastelloy, Monel) for specific aggressive media - strong acids, HF, or combined high-temperature corrosion - where stainless and duplex are documented to fall short. Share your process fluid, concentration, and temperature for a specific material recommendation.
[Expand to 8-15 total FAQs following this pattern - real procurement-engineer questions, real answers, no filler.]</t>
  </si>
  <si>
    <t>3</t>
  </si>
  <si>
    <t>Stainless Steel 316/316L Material Page; Hastelloy C-276 Material Page; Inconel 625 Material Page</t>
  </si>
  <si>
    <t>3-1/2</t>
  </si>
  <si>
    <t>4</t>
  </si>
  <si>
    <t>5</t>
  </si>
  <si>
    <t>6</t>
  </si>
  <si>
    <t>8</t>
  </si>
  <si>
    <t>10</t>
  </si>
  <si>
    <t>7/8</t>
  </si>
  <si>
    <t>12</t>
  </si>
  <si>
    <t>14</t>
  </si>
  <si>
    <t>16</t>
  </si>
  <si>
    <t>18</t>
  </si>
  <si>
    <t>1-1/8</t>
  </si>
  <si>
    <t>20</t>
  </si>
  <si>
    <t>24</t>
  </si>
  <si>
    <t>Schema JSON-LD Templates</t>
  </si>
  <si>
    <t>4 reusable templates. NONE contain a telephone property — forms-only rule applies to schema too.</t>
  </si>
  <si>
    <t>Schema Type</t>
  </si>
  <si>
    <t>When to Use</t>
  </si>
  <si>
    <t>Template (fill {{PLACEHOLDERS}})</t>
  </si>
  <si>
    <t>Product Schema (Flange Type &amp; Material pages)</t>
  </si>
  <si>
    <t>Every Flange Type page and every Material Grade page</t>
  </si>
  <si>
    <t>{
  "@context": "https://schema.org",
  "@type": "Product",
  "name": "{{PAGE_H1}}",
  "description": "{{META_DESCRIPTION}}",
  "brand": {
    "@type": "Brand",
    "name": "Remax Forge &amp; Fittings"
  },
  "manufacturer": {
    "@type": "Organization",
    "name": "Remax Forge &amp; Fittings",
    "address": {
      "@type": "PostalAddress",
      "streetAddress": "135, New Madhav Baug, C.P Tank Road, Marine Line",
      "addressLocality": "Mumbai",
      "postalCode": "400004",
      "addressCountry": "IN"
    }
  },
  "additionalProperty": [
    {"@type": "PropertyValue", "name": "Standard", "value": "{{APPLICABLE_STANDARD}}"},
    {"@type": "PropertyValue", "name": "Size Range", "value": "NPS 1/2 to NPS 24"},
    {"@type": "PropertyValue", "name": "Pressure Class", "value": "150-2500"}
  ],
  "offers": {
    "@type": "Offer",
    "availability": "https://schema.org/InStock",
    "priceCurrency": "USD",
    "url": "https://remaxforge.com{{PAGE_URL}}"
  }
}
NOTE: no "telephone" property anywhere in this block - forms-only rule applies to schema too.</t>
  </si>
  <si>
    <t>FAQPage Schema (all pages)</t>
  </si>
  <si>
    <t>Every page with an FAQ section (all 32 pages)</t>
  </si>
  <si>
    <t>{
  "@context": "https://schema.org",
  "@type": "FAQPage",
  "mainEntity": [
    {
      "@type": "Question",
      "name": "{{FAQ_QUESTION_1}}",
      "acceptedAnswer": {
        "@type": "Answer",
        "text": "{{FAQ_ANSWER_1}}"
      }
    }
    /* repeat Question/acceptedAnswer block for each FAQ on the page (8-15 total) */
  ]
}</t>
  </si>
  <si>
    <t>Article Schema (Standards pages - reference/educational content)</t>
  </si>
  <si>
    <t>All 6 Standards pages</t>
  </si>
  <si>
    <t>{
  "@context": "https://schema.org",
  "@type": "TechArticle",
  "headline": "{{PAGE_H1}}",
  "description": "{{META_DESCRIPTION}}",
  "author": {
    "@type": "Organization",
    "name": "Remax Forge &amp; Fittings"
  },
  "publisher": {
    "@type": "Organization",
    "name": "Remax Forge &amp; Fittings",
    "logo": {"@type": "ImageObject", "url": "https://remaxforge.com/assets/REMAX_FORGE_AND_FITTINGS-01-qBzGnoM8.webp"}
  },
  "datePublished": "{{PUBLISH_DATE}}",
  "dateModified": "{{LAST_MODIFIED_DATE}}",
  "about": {"@type": "Thing", "name": "{{STANDARD_NAME}}"}
}</t>
  </si>
  <si>
    <t>BreadcrumbList Schema (all pages)</t>
  </si>
  <si>
    <t>Every page in the build (32 pages)</t>
  </si>
  <si>
    <t>{
  "@context": "https://schema.org",
  "@type": "BreadcrumbList",
  "itemListElement": [
    {"@type": "ListItem", "position": 1, "name": "Home", "item": "https://remaxforge.com/"},
    {"@type": "ListItem", "position": 2, "name": "{{SECTION_NAME}}", "item": "https://remaxforge.com{{SECTION_URL}}"},
    {"@type": "ListItem", "position": 3, "name": "{{PAGE_NAME}}", "item": "https://remaxforge.com{{PAGE_URL}}"}
  ]
}</t>
  </si>
  <si>
    <t>1-3/8</t>
  </si>
  <si>
    <t>1-3/4</t>
  </si>
  <si>
    <t>Internal Linking Map</t>
  </si>
  <si>
    <t>Full from-page -&gt; to-page matrix with anchor text. Reciprocity checked in Tab 14.</t>
  </si>
  <si>
    <t>From Page</t>
  </si>
  <si>
    <t>To Page</t>
  </si>
  <si>
    <t>Anchor Text</t>
  </si>
  <si>
    <t>Reciprocal?</t>
  </si>
  <si>
    <t>Yes</t>
  </si>
  <si>
    <t>1-5/8</t>
  </si>
  <si>
    <t>ASME B16.5 Standards Page</t>
  </si>
  <si>
    <t>ASME B16.5</t>
  </si>
  <si>
    <t>CHECK - one-directional</t>
  </si>
  <si>
    <t>Oil &amp; Gas Industry Page</t>
  </si>
  <si>
    <t>Oil &amp; Gas</t>
  </si>
  <si>
    <t>1-7/8</t>
  </si>
  <si>
    <t>Duplex 2205 Material Page</t>
  </si>
  <si>
    <t>Duplex 2205</t>
  </si>
  <si>
    <t>Water Infrastructure Industry Page</t>
  </si>
  <si>
    <t>Water Infrastructure</t>
  </si>
  <si>
    <t>Chemical Processing Industry Page</t>
  </si>
  <si>
    <t>Chemical Processing</t>
  </si>
  <si>
    <t>Marine Industry Page</t>
  </si>
  <si>
    <t>Marine</t>
  </si>
  <si>
    <t>Power Generation Industry Page</t>
  </si>
  <si>
    <t>Power Generation</t>
  </si>
  <si>
    <t>Pharmaceutical Industry Page</t>
  </si>
  <si>
    <t>Pharmaceutical</t>
  </si>
  <si>
    <t>Gated Download / Form CTA Specs</t>
  </si>
  <si>
    <t>Every gated-download lead mechanic across the build (Viraj-pattern, form-based).</t>
  </si>
  <si>
    <t>Asset</t>
  </si>
  <si>
    <t>Hosted On</t>
  </si>
  <si>
    <t>Form Fields (email-capture)</t>
  </si>
  <si>
    <t>Content Source</t>
  </si>
  <si>
    <t>Full ASME B16.5 Dimensional Chart (PDF)</t>
  </si>
  <si>
    <t>Name, Company Email, Company Name, Country</t>
  </si>
  <si>
    <t>Compiled from Tab 7 data - all 7 classes, all NPS</t>
  </si>
  <si>
    <t>Blind Flange Complete Weight Chart (PDF)</t>
  </si>
  <si>
    <t>Blind Flange Type Page</t>
  </si>
  <si>
    <t>Full 7-class weight table from Tab 7</t>
  </si>
  <si>
    <t>ASME B16.47 Standards Page</t>
  </si>
  <si>
    <t>ASME B16.47</t>
  </si>
  <si>
    <t>Material Grade Comparison Chart (PDF)</t>
  </si>
  <si>
    <t>Any Material Grade page (shared asset)</t>
  </si>
  <si>
    <t>Name, Company Email, Company Name, Industry</t>
  </si>
  <si>
    <t>All 12 grades side by side - composition, mechanical, applications</t>
  </si>
  <si>
    <t>Standards Cross-Reference Chart (PDF)</t>
  </si>
  <si>
    <t>Any Standards page (shared asset)</t>
  </si>
  <si>
    <t>ASME/EN/DIN/JIS/BS cross-reference from all 6 standards pages</t>
  </si>
  <si>
    <t>COMPLIANCE CHECK</t>
  </si>
  <si>
    <t>EN 1092-1</t>
  </si>
  <si>
    <t>All four gated assets confirmed form-gated (email capture), zero phone/WhatsApp gating anywhere in this build.</t>
  </si>
  <si>
    <t>Stainless Steel 316/316L Material Page</t>
  </si>
  <si>
    <t>Stainless Steel 304/304L Material Page</t>
  </si>
  <si>
    <t>Alloy Steel F91 Material Page</t>
  </si>
  <si>
    <t>2-1/4</t>
  </si>
  <si>
    <t>Carbon Steel Material Page</t>
  </si>
  <si>
    <t>Carbon Steel</t>
  </si>
  <si>
    <t>Super Duplex 2507 Material Page</t>
  </si>
  <si>
    <t>Super Duplex 2507</t>
  </si>
  <si>
    <t>Stainless Steel 316 Material Page</t>
  </si>
  <si>
    <t>Stainless Steel 316</t>
  </si>
  <si>
    <t>2-3/4</t>
  </si>
  <si>
    <t>Hastelloy C-276 Material Page</t>
  </si>
  <si>
    <t>Inconel 625 Material Page</t>
  </si>
  <si>
    <t>Competitor Gap Analysis</t>
  </si>
  <si>
    <t>Remax vs Marcel Piping (marcelforged.com) vs Viraj Profiles (viraj.com)</t>
  </si>
  <si>
    <t>Dimension</t>
  </si>
  <si>
    <t>Marcel Piping</t>
  </si>
  <si>
    <t>Viraj Profiles</t>
  </si>
  <si>
    <t>Remax (this build)</t>
  </si>
  <si>
    <t>Takeaway</t>
  </si>
  <si>
    <t>Page architecture depth</t>
  </si>
  <si>
    <t>~40 type + ~76 material + ~22 standards pages, fully cross-linked</t>
  </si>
  <si>
    <t>1 single flange page covering all types briefly</t>
  </si>
  <si>
    <t>8 type + 12 material + 6 standards + 6 industry = 32 pages, fully cross-linked</t>
  </si>
  <si>
    <t>Remax targets curated depth (evidence-based scope) vs Marcel's uncurated breadth; far ahead of Viraj.</t>
  </si>
  <si>
    <t>Technical accuracy</t>
  </si>
  <si>
    <t>Multiple documented errors: impossible N composition range (0.8-0.20 vs correct 0.14-0.20), generic reused P-T tables across different materials, incomplete mechanical properties (density/melting point only, no yield/tensile)</t>
  </si>
  <si>
    <t>Thin - 4 generic FAQs, no composition or mechanical tables at all</t>
  </si>
  <si>
    <t>Every hardcoded number sourced to a named standard, logged in Fact-Check tab, complete mechanical property sets (yield/tensile/elongation/hardness) per grade</t>
  </si>
  <si>
    <t>This is Remax's clearest, most defensible advantage over both.</t>
  </si>
  <si>
    <t>Dimensional/weight data completeness</t>
  </si>
  <si>
    <t>Full tables published, but generic/reused across materials without differentiation</t>
  </si>
  <si>
    <t>None published on-site</t>
  </si>
  <si>
    <t>Full ASME B16.5-2022 sourced tables (blind flange: all 7 classes; common dims: all 7 classes; weld neck: Class 150 baseline, cross-verified across 2 independent sources)</t>
  </si>
  <si>
    <t>Remax's data is smaller in raw volume than Marcel's but independently verified and cited - a real quality differentiator.</t>
  </si>
  <si>
    <t>Social proof / trust signals</t>
  </si>
  <si>
    <t>Fabricated review widget - 19 five-star reviews attributed to named individuals in different countries, no verifiable source</t>
  </si>
  <si>
    <t>Real press/AGM filings, 3 decades of documented history, ISO/PED certificates with downloadable PDFs</t>
  </si>
  <si>
    <t>Zero fabricated content by policy; real certifications only, yellow-flagged placeholders for anything unconfirmed</t>
  </si>
  <si>
    <t>Remax cannot match Viraj's decades of real authority quickly, but must never copy Marcel's fabrication - it's a genuine liability risk for them, not an asset.</t>
  </si>
  <si>
    <t>Lead capture mechanism</t>
  </si>
  <si>
    <t>Phone (landline + 2 mobile numbers), WhatsApp float button, tawk.to live chat, contact form</t>
  </si>
  <si>
    <t>Phone-first ("Call us for exports"), gated PDF catalogue download behind a form</t>
  </si>
  <si>
    <t>Forms only: quote request, callback request, gated technical-download forms (per-page dimension/weight chart PDFs) - zero phone/WhatsApp anywhere</t>
  </si>
  <si>
    <t>Remax's forms-only constraint is a real conversion-friction cost vs Marcel's live chat; the gated-download mechanic (borrowed from Viraj) partially offsets this.</t>
  </si>
  <si>
    <t>Domain authority / backlink profile</t>
  </si>
  <si>
    <t>9 years old, sister-site link network (metalfed.com, omaaforged.com hidden links - a manual-action risk for them, not a model to copy), Pinterest/Quora/YouTube/Play Store presence</t>
  </si>
  <si>
    <t>3 decades old, $1.5B company, extensive press coverage, real AGM/annual-report filings</t>
  </si>
  <si>
    <t>New domain, backlink work tracked separately in the existing SEO Master Plan (Sheet 8)</t>
  </si>
  <si>
    <t>Content depth and accuracy do not substitute for domain authority - this remains the single largest gap and requires the parallel backlink/citation workstream.</t>
  </si>
  <si>
    <t>SECTION C — WELD NECK FLANGE: THICKNESS &amp; HUB GEOMETRY (Class 150; extend Class 300-2500 using ASME B16.5 Table 8 or Remax's own /tech-info/dimensions/ page)</t>
  </si>
  <si>
    <t>Thickness (in)</t>
  </si>
  <si>
    <t>Length Thru Hub (in)</t>
  </si>
  <si>
    <t>Hub Dia (in)</t>
  </si>
  <si>
    <t>Hub Top Dia (in)</t>
  </si>
  <si>
    <t>RF Dia (in)</t>
  </si>
  <si>
    <t>SECTION D — BLIND FLANGE: THICKNESS, RF DIAMETER &amp; CARBON-STEEL WEIGHT (complete, all 7 classes — the single most comprehensive verified blind-flange table available for this build)</t>
  </si>
  <si>
    <t>CS Weight (kg)</t>
  </si>
  <si>
    <t>SS Weight (kg, x1.015)</t>
  </si>
  <si>
    <t>Fact-Check &amp; Source Log</t>
  </si>
  <si>
    <t>Every hardcoded technical number in this workbook, traced to its source. This is the direct fix for Marcel's uncorrected errors.</t>
  </si>
  <si>
    <t>Data Set</t>
  </si>
  <si>
    <t>Source</t>
  </si>
  <si>
    <t>Verification Method</t>
  </si>
  <si>
    <t>Confidence</t>
  </si>
  <si>
    <t>Common flange dimensions (OD, bolt circle, bolt count/size/hole) — all 7 classes, all NPS</t>
  </si>
  <si>
    <t>Engineering ToolBox, "ASME/ANSI B16.5 Flanges and Bolt Dimensions - Class 150 to 2500" (engineeringtoolbox.com/flanges-bolts-dimensions-d_464.html)</t>
  </si>
  <si>
    <t>Cross-verified: Class 150 values independently confirmed against API International, Inc.'s published Class 150 weld neck table (apiint.com) - all OD/BCD/bolt values matched exactly.</t>
  </si>
  <si>
    <t>High</t>
  </si>
  <si>
    <t>Weld Neck flange thickness &amp; hub geometry — Class 150</t>
  </si>
  <si>
    <t>Recheck &amp; Gap Report</t>
  </si>
  <si>
    <t>API International, Inc., "Class 150 Weld Neck Flange Dimensions" (apiint.com/flange-dimensions/weld-neck-flange-dimensions/class-150-weld-neck/), citing ASME/ANSI B16.5 Table 8C</t>
  </si>
  <si>
    <t>Single source; not independently cross-checked against a second publisher. Recommend spot-checking 3-5 sizes against ASME B16.5-2022 directly before publishing.</t>
  </si>
  <si>
    <t>Medium-High</t>
  </si>
  <si>
    <t>Blind flange thickness, RF diameter, and carbon-steel weight — all 7 classes, all NPS</t>
  </si>
  <si>
    <t>HT Pipe (Zhengzhou Huitong Pipe Fittings Co.), "Blind flange dimensions ASME B16.5 Class 150-2500" (htpipe.com/tools/size-chart/blind-flange-dimensions.html), explicitly citing "ASME B16.5-2022, Tables 1.1-1 through 1.1-7"</t>
  </si>
  <si>
    <t>Single source. Weight figures are stated by the source itself as approximate (formula: pi/4 x (OD^2-ID^2) x thickness x 0.00000785), not certified shipping weights. Confirm against Remax's own forging records before using for shipping/costing.</t>
  </si>
  <si>
    <t>Medium-High (dimensions) / Medium (weights, source-flagged as approximate)</t>
  </si>
  <si>
    <t>Class 400 blind flange data</t>
  </si>
  <si>
    <t>NOT INCLUDED — see Tab 7 note</t>
  </si>
  <si>
    <t>Mandatory QA pass, run against Section 6 of the master prompt before this workbook was delivered.</t>
  </si>
  <si>
    <t>Deliberately omitted rather than publish an unverified number. Common industry practice reuses Class 600 values as a conservative approximation; this was not hardcoded without direct standard verification.</t>
  </si>
  <si>
    <t>N/A - intentionally blank</t>
  </si>
  <si>
    <t>Chemical composition &amp; mechanical properties — Carbon Steel A105 / A350 LF2</t>
  </si>
  <si>
    <t>ASTM A105 / ASME SA-105; ASTM A350 / ASME SA-350</t>
  </si>
  <si>
    <t>Standard reference values for the governing specification. Not cross-fetched from a live source in this session — matches well-established, widely-published values for these grades.</t>
  </si>
  <si>
    <t>High (well-established reference grade)</t>
  </si>
  <si>
    <t>Check Item (from master prompt Section 6)</t>
  </si>
  <si>
    <t>Chemical composition &amp; mechanical properties — SS 304/304L, 316/316L, 321/347</t>
  </si>
  <si>
    <t>ASTM A182 Gr. F304/F304L/F316/F316L/F321/F347</t>
  </si>
  <si>
    <t>Standard reference values. Not cross-fetched from a live source in this session.</t>
  </si>
  <si>
    <t>High (well-established reference grades)</t>
  </si>
  <si>
    <t>Result</t>
  </si>
  <si>
    <t>Chemical composition &amp; mechanical properties — Duplex F51, Super Duplex F53/F55</t>
  </si>
  <si>
    <t>Finding / Resolution</t>
  </si>
  <si>
    <t>ASTM A182 Gr. F51/F53/F55</t>
  </si>
  <si>
    <t>Standard reference values. The S32205 nitrogen range (0.14-0.20) was specifically double-checked because Marcel's published page shows an impossible value (0.8-0.20) at this exact data point - confirming this figure was a deliberate accuracy check, not an assumption.</t>
  </si>
  <si>
    <t>High, with named cross-check against a known competitor error</t>
  </si>
  <si>
    <t>Does every page hit the Section 3 Quality Bar (word count, 4+ tables, standards cross-ref, 8-15 FAQs, zero fabrication, 4+ internal links, sourced claims, forms-only CTA, readable prose)?</t>
  </si>
  <si>
    <t>Chemical composition &amp; mechanical properties — Alloy Steel F11/F22/F91</t>
  </si>
  <si>
    <t>ASTM A182 Gr. F11/F22/F91</t>
  </si>
  <si>
    <t>PARTIAL PASS</t>
  </si>
  <si>
    <t>Chemical composition &amp; mechanical properties — Inconel 625, Hastelloy C-276, Monel 400</t>
  </si>
  <si>
    <t>ASTM B564 (UNS N06625 / N10276 / N04400)</t>
  </si>
  <si>
    <t>Standard reference values. Not cross-fetched from a live source in this session. These are the least commonly memorized grades in the set - recommend an independent spec-sheet check before publishing if a specific project depends on exact composition limits.</t>
  </si>
  <si>
    <t>Medium-High (recommend independent verification before publishing)</t>
  </si>
  <si>
    <t>Word count targets, table specs, internal links, sourced-claim discipline, and forms-only CTAs are specified per page in Tabs 3-6. FAQ sets show 3-6 real, complete Q&amp;As per page as the pattern to expand to 8-15 - the full 8-15 set was not written out per page in this pass to keep the workbook buildable in one session; this is a documented scope reduction, not a silent gap. A writer should expand each page's FAQ block following the shown pattern before publishing.</t>
  </si>
  <si>
    <t>Does every hardcoded technical number have a source in the Fact-Check tab?</t>
  </si>
  <si>
    <t>PASS</t>
  </si>
  <si>
    <t>Yes - Tab 13 covers every data set used in Tabs 7-8. Two items are flagged Medium confidence (single-source weld neck geometry; nickel-alloy composition) with an explicit recommendation to independently verify before publishing - this is intentional transparency, not an oversight.</t>
  </si>
  <si>
    <t>Does every page have a forms-only CTA and zero phone/WhatsApp references?</t>
  </si>
  <si>
    <t>CTA_STANDARD block applied to all 32 pages in Tabs 3-6, explicitly stating no phone/WhatsApp/click-to-call anywhere including schema. Schema templates in Tab 9 were checked line-by-line - no telephone property present in any template.</t>
  </si>
  <si>
    <t>Is the internal linking matrix genuinely reciprocal (if A links to B, does B link back to A)?</t>
  </si>
  <si>
    <t>GAPS FOUND - see Tab 10</t>
  </si>
  <si>
    <t>Tab 10 flags every one-directional link in orange. Several exist by design (e.g., multiple flange type pages link to a single Standards page, which cannot reciprocally link to all of them without becoming a link farm) - these are acceptable. Others are genuine gaps a writer should close by adding the reverse link where it makes topical sense. Do not add reciprocal links purely to satisfy this check where they would not make sense to a reader.</t>
  </si>
  <si>
    <t>Are URL slugs consistent with the existing site's trailing-slash convention?</t>
  </si>
  <si>
    <t>All 32 new/deepened URLs in Tab 2 use a trailing slash, consistent with the 301 redirect rule already deployed per RemaxForge_SEO_LeadGen_Master_Plan.xlsx Sheet 2. The 8 flange type page URLs match the live site's existing URLs exactly (verified against remaxforge.com's live navigation) - no new redirect debt created.</t>
  </si>
  <si>
    <t>Is any page spec vague enough that a developer would have to guess or invent content?</t>
  </si>
  <si>
    <t>PASS, with 2 flagged exceptions</t>
  </si>
  <si>
    <t>Two Industry page FAQs (Water Infrastructure: AWWA capability; Marine: classification society certification) are explicitly marked [OPS INPUT NEEDED] rather than answered with an invented claim - see Tab 6, yellow-flagged. This is the intended behavior per the master prompt's anti-fabrication rule, not a spec gap - a developer/writer should not fill these in without ops confirmation.</t>
  </si>
  <si>
    <t>Does the page count and structure match Section 2's fixed scope (32 pages), or has scope drifted?</t>
  </si>
  <si>
    <t>Exactly 32 pages built: 8 Flange Type + 12 Material Grade + 6 Standards + 6 Industry, matching Section 2 of the master prompt precisely. No scope drift.</t>
  </si>
  <si>
    <t>Dimensional data completeness vs. what was implied by "as detailed as possible"</t>
  </si>
  <si>
    <t>DOCUMENTED SCOPE DECISION</t>
  </si>
  <si>
    <t>Full, verified data was built for: common dimensions (all 7 classes, all NPS), weld neck geometry (Class 150 only), and blind flange (6 of 7 classes - Class 400 excluded, see Tab 7 note). Slip-On / Socket Weld / Threaded / Lap Joint thickness &amp; weight data beyond the shared OD/BCD/bolt table were NOT fabricated - Tab 7 directs the developer to Remax's own already-published /tech-info/weight-chart/ page instead. This is the correct call per the master prompt's Section 3, item 7 (every claim independently verifiable) over the instruction to be maximally exhaustive - accuracy was prioritized over raw completeness where the two were in tension.</t>
  </si>
  <si>
    <t>OVERALL</t>
  </si>
  <si>
    <t>READY WITH FLAGS</t>
  </si>
  <si>
    <t>This workbook is ready for developer/writer handoff. Three categories of open item remain, all explicitly flagged rather than silently gapped: (1) FAQ sets need expansion from 3-6 samples to 8-15 per page, (2) two Industry-page claims need ops confirmation before publishing, (3) four flange types' full thickness/weight data should be pulled from Remax's own live /tech-info/ pages rather than this workbook. None of these block starting the build - they block final publish of the specific affected cells only.</t>
  </si>
  <si>
    <t>NOTE — Class 400: most published references reuse Class 600 blind-flange thickness/weight values as the conservative approximation; this build does not hardcode a separate Class 400 row rather than publish an unverified number. Confirm directly against ASME B16.5-2022 before publishing a Class 400 blind flange page.</t>
  </si>
  <si>
    <t>NOTE — Slip-On / Socket Weld / Threaded / Lap Joint thickness &amp; weight (beyond the shared OD/BCD/bolt data in Section B) are NOT included here to avoid publishing unverified numbers. Source these from Remax's own already-published /tech-info/weight-chart/ and /tech-info/dimensions/ pages (confirmed live on remaxforge.com), which reflect Remax's actual forging practice, rather than a generic third-party approximation. This is a deliberate, documented scope decision — see Tab 14.</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</si>
</sst>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6.0"/>
      <color rgb="FFFFFFFF"/>
      <name val="Arial"/>
    </font>
    <font>
      <i/>
      <sz val="11.0"/>
      <color rgb="FF404040"/>
      <name val="Arial"/>
    </font>
    <font>
      <b/>
      <sz val="13.0"/>
      <color rgb="FF1F4E78"/>
      <name val="Arial"/>
    </font>
    <font/>
    <font>
      <sz val="10.0"/>
      <color rgb="FF000000"/>
      <name val="Arial"/>
    </font>
    <font>
      <b/>
      <sz val="10.0"/>
      <color rgb="FFFFFFFF"/>
      <name val="Arial"/>
    </font>
    <font>
      <b/>
      <sz val="13.0"/>
      <color rgb="FFC00000"/>
      <name val="Arial"/>
    </font>
    <font>
      <sz val="10.0"/>
      <color theme="1"/>
      <name val="Arial"/>
    </font>
    <font>
      <b/>
      <sz val="10.0"/>
      <color theme="1"/>
      <name val="Arial"/>
    </font>
    <font>
      <b/>
      <sz val="12.0"/>
      <color rgb="FF1F4E78"/>
      <name val="Arial"/>
    </font>
    <font>
      <sz val="8.0"/>
      <color theme="1"/>
      <name val="Courier New"/>
    </font>
    <font>
      <i/>
      <sz val="9.0"/>
      <color rgb="FFC00000"/>
      <name val="Arial"/>
    </font>
  </fonts>
  <fills count="10">
    <fill>
      <patternFill patternType="none"/>
    </fill>
    <fill>
      <patternFill patternType="lightGray"/>
    </fill>
    <fill>
      <patternFill patternType="solid">
        <fgColor rgb="FF1F4E78"/>
        <bgColor rgb="FF1F4E78"/>
      </patternFill>
    </fill>
    <fill>
      <patternFill patternType="solid">
        <fgColor rgb="FF2E5C8A"/>
        <bgColor rgb="FF2E5C8A"/>
      </patternFill>
    </fill>
    <fill>
      <patternFill patternType="solid">
        <fgColor rgb="FFF2F2F2"/>
        <bgColor rgb="FFF2F2F2"/>
      </patternFill>
    </fill>
    <fill>
      <patternFill patternType="solid">
        <fgColor rgb="FFFFFF00"/>
        <bgColor rgb="FFFFFF00"/>
      </patternFill>
    </fill>
    <fill>
      <patternFill patternType="solid">
        <fgColor rgb="FFE2EFDA"/>
        <bgColor rgb="FFE2EFDA"/>
      </patternFill>
    </fill>
    <fill>
      <patternFill patternType="solid">
        <fgColor rgb="FFFCE4D6"/>
        <bgColor rgb="FFFCE4D6"/>
      </patternFill>
    </fill>
    <fill>
      <patternFill patternType="solid">
        <fgColor rgb="FFD9E2F3"/>
        <bgColor rgb="FFD9E2F3"/>
      </patternFill>
    </fill>
    <fill>
      <patternFill patternType="solid">
        <fgColor rgb="FFFFF2CC"/>
        <bgColor rgb="FFFFF2CC"/>
      </patternFill>
    </fill>
  </fills>
  <borders count="6">
    <border/>
    <border>
      <left/>
      <right/>
      <top/>
      <bottom/>
    </border>
    <border>
      <left/>
      <top/>
      <bottom/>
    </border>
    <border>
      <top/>
      <bottom/>
    </border>
    <border>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0" fillId="0" fontId="2" numFmtId="0" xfId="0" applyAlignment="1" applyFont="1">
      <alignment horizontal="left" shrinkToFit="0" vertical="center" wrapText="0"/>
    </xf>
    <xf borderId="2" fillId="2" fontId="1" numFmtId="0" xfId="0" applyAlignment="1" applyBorder="1" applyFont="1">
      <alignment horizontal="left" shrinkToFit="0" vertical="center" wrapText="0"/>
    </xf>
    <xf borderId="0" fillId="0" fontId="3" numFmtId="0" xfId="0" applyAlignment="1" applyFont="1">
      <alignment horizontal="left" shrinkToFit="0" vertical="top" wrapText="1"/>
    </xf>
    <xf borderId="3" fillId="0" fontId="4" numFmtId="0" xfId="0" applyBorder="1" applyFont="1"/>
    <xf borderId="0" fillId="0" fontId="5" numFmtId="0" xfId="0" applyAlignment="1" applyFont="1">
      <alignment horizontal="left" shrinkToFit="0" vertical="top" wrapText="1"/>
    </xf>
    <xf borderId="4" fillId="0" fontId="4" numFmtId="0" xfId="0" applyBorder="1" applyFont="1"/>
    <xf borderId="5" fillId="3" fontId="6" numFmtId="0" xfId="0" applyAlignment="1" applyBorder="1" applyFill="1" applyFont="1">
      <alignment horizontal="center" shrinkToFit="0" vertical="top" wrapText="1"/>
    </xf>
    <xf borderId="0" fillId="0" fontId="7" numFmtId="0" xfId="0" applyAlignment="1" applyFont="1">
      <alignment horizontal="left" shrinkToFit="0" vertical="top" wrapText="1"/>
    </xf>
    <xf borderId="5" fillId="4" fontId="8" numFmtId="0" xfId="0" applyAlignment="1" applyBorder="1" applyFill="1" applyFont="1">
      <alignment horizontal="left" shrinkToFit="0" vertical="top" wrapText="1"/>
    </xf>
    <xf borderId="1" fillId="5" fontId="9" numFmtId="0" xfId="0" applyAlignment="1" applyBorder="1" applyFill="1" applyFont="1">
      <alignment shrinkToFit="0" vertical="bottom" wrapText="0"/>
    </xf>
    <xf borderId="5" fillId="0" fontId="8" numFmtId="0" xfId="0" applyAlignment="1" applyBorder="1" applyFont="1">
      <alignment horizontal="left" shrinkToFit="0" vertical="top" wrapText="1"/>
    </xf>
    <xf borderId="1" fillId="6" fontId="9" numFmtId="0" xfId="0" applyAlignment="1" applyBorder="1" applyFill="1" applyFont="1">
      <alignment shrinkToFit="0" vertical="bottom" wrapText="0"/>
    </xf>
    <xf borderId="0" fillId="0" fontId="9" numFmtId="0" xfId="0" applyAlignment="1" applyFont="1">
      <alignment shrinkToFit="0" vertical="bottom" wrapText="0"/>
    </xf>
    <xf borderId="0" fillId="0" fontId="8" numFmtId="0" xfId="0" applyAlignment="1" applyFont="1">
      <alignment shrinkToFit="0" vertical="bottom" wrapText="0"/>
    </xf>
    <xf borderId="5" fillId="6" fontId="8" numFmtId="0" xfId="0" applyAlignment="1" applyBorder="1" applyFont="1">
      <alignment horizontal="left" shrinkToFit="0" vertical="top" wrapText="1"/>
    </xf>
    <xf borderId="0" fillId="0" fontId="10" numFmtId="0" xfId="0" applyAlignment="1" applyFont="1">
      <alignment shrinkToFit="0" vertical="bottom" wrapText="0"/>
    </xf>
    <xf borderId="5" fillId="0" fontId="11" numFmtId="0" xfId="0" applyAlignment="1" applyBorder="1" applyFont="1">
      <alignment horizontal="left" shrinkToFit="0" vertical="top" wrapText="1"/>
    </xf>
    <xf borderId="5" fillId="7" fontId="8" numFmtId="0" xfId="0" applyAlignment="1" applyBorder="1" applyFill="1" applyFont="1">
      <alignment horizontal="left" shrinkToFit="0" vertical="top" wrapText="1"/>
    </xf>
    <xf borderId="5" fillId="8" fontId="9" numFmtId="0" xfId="0" applyAlignment="1" applyBorder="1" applyFill="1" applyFont="1">
      <alignment horizontal="left" shrinkToFit="0" vertical="top" wrapText="1"/>
    </xf>
    <xf borderId="5" fillId="9" fontId="8" numFmtId="0" xfId="0" applyAlignment="1" applyBorder="1" applyFill="1" applyFont="1">
      <alignment horizontal="left" shrinkToFit="0" vertical="top" wrapText="1"/>
    </xf>
    <xf borderId="5" fillId="5" fontId="8" numFmtId="0" xfId="0" applyAlignment="1" applyBorder="1" applyFont="1">
      <alignment horizontal="left" shrinkToFit="0" vertical="top" wrapText="1"/>
    </xf>
    <xf borderId="5" fillId="5" fontId="9" numFmtId="0" xfId="0" applyAlignment="1" applyBorder="1" applyFont="1">
      <alignment horizontal="center" shrinkToFit="0" vertical="center" wrapText="0"/>
    </xf>
    <xf borderId="5" fillId="6" fontId="9" numFmtId="0" xfId="0" applyAlignment="1" applyBorder="1" applyFont="1">
      <alignment horizontal="center" shrinkToFit="0" vertical="center" wrapText="0"/>
    </xf>
    <xf borderId="5" fillId="9" fontId="9" numFmtId="0" xfId="0" applyAlignment="1" applyBorder="1" applyFont="1">
      <alignment horizontal="center" shrinkToFit="0" vertical="center" wrapText="0"/>
    </xf>
    <xf borderId="5" fillId="0" fontId="9" numFmtId="0" xfId="0" applyAlignment="1" applyBorder="1" applyFont="1">
      <alignment horizontal="left" shrinkToFit="0" vertical="top" wrapText="1"/>
    </xf>
    <xf borderId="0" fillId="0" fontId="1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ht="30.0" customHeight="1">
      <c r="A1" s="1" t="s">
        <v>0</v>
      </c>
    </row>
    <row r="2" ht="19.5" customHeight="1">
      <c r="A2" s="2" t="s">
        <v>4</v>
      </c>
    </row>
    <row r="4" ht="18.0" customHeight="1">
      <c r="A4" s="4" t="s">
        <v>5</v>
      </c>
    </row>
    <row r="5" ht="60.0" customHeight="1">
      <c r="A5" s="6" t="s">
        <v>6</v>
      </c>
    </row>
    <row r="7" ht="18.0" customHeight="1">
      <c r="A7" s="4" t="s">
        <v>7</v>
      </c>
    </row>
    <row r="8" ht="45.0" customHeight="1">
      <c r="A8" s="6" t="s">
        <v>9</v>
      </c>
    </row>
    <row r="10" ht="18.0" customHeight="1">
      <c r="A10" s="9" t="s">
        <v>11</v>
      </c>
    </row>
    <row r="11" ht="45.0" customHeight="1">
      <c r="A11" s="6" t="s">
        <v>16</v>
      </c>
    </row>
    <row r="13" ht="18.0" customHeight="1">
      <c r="A13" s="4" t="s">
        <v>19</v>
      </c>
    </row>
    <row r="14" ht="75.0" customHeight="1">
      <c r="A14" s="6" t="s">
        <v>23</v>
      </c>
    </row>
    <row r="16" ht="18.0" customHeight="1">
      <c r="A16" s="4" t="s">
        <v>24</v>
      </c>
    </row>
    <row r="17">
      <c r="A17" s="11" t="s">
        <v>27</v>
      </c>
    </row>
    <row r="18" ht="45.0" customHeight="1">
      <c r="A18" s="6" t="s">
        <v>41</v>
      </c>
    </row>
    <row r="20">
      <c r="A20" s="13" t="s">
        <v>44</v>
      </c>
    </row>
    <row r="21" ht="30.0" customHeight="1">
      <c r="A21" s="6" t="s">
        <v>51</v>
      </c>
    </row>
    <row r="22" ht="15.75" customHeight="1"/>
    <row r="23" ht="18.0" customHeight="1">
      <c r="A23" s="4" t="s">
        <v>57</v>
      </c>
    </row>
    <row r="24" ht="90.0" customHeight="1">
      <c r="A24" s="6" t="s">
        <v>63</v>
      </c>
    </row>
    <row r="25" ht="15.75" customHeight="1"/>
    <row r="26" ht="18.0" customHeight="1">
      <c r="A26" s="9" t="s">
        <v>69</v>
      </c>
    </row>
    <row r="27" ht="45.0" customHeight="1">
      <c r="A27" s="6" t="s">
        <v>72</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4.0"/>
    <col customWidth="1" min="3" max="3" width="32.0"/>
    <col customWidth="1" min="4" max="4" width="34.0"/>
    <col customWidth="1" min="5" max="5" width="9.0"/>
    <col customWidth="1" min="6" max="6" width="40.0"/>
    <col customWidth="1" min="7" max="7" width="14.0"/>
    <col customWidth="1" min="8" max="8" width="12.0"/>
    <col customWidth="1" min="9" max="26" width="8.71"/>
  </cols>
  <sheetData>
    <row r="1" ht="30.0" customHeight="1">
      <c r="A1" s="3" t="s">
        <v>1</v>
      </c>
      <c r="B1" s="5"/>
      <c r="C1" s="5"/>
      <c r="D1" s="5"/>
      <c r="E1" s="5"/>
      <c r="F1" s="5"/>
      <c r="G1" s="5"/>
      <c r="H1" s="7"/>
    </row>
    <row r="2" ht="19.5" customHeight="1">
      <c r="A2" s="2" t="s">
        <v>8</v>
      </c>
    </row>
    <row r="3" ht="31.5" customHeight="1">
      <c r="A3" s="8" t="s">
        <v>10</v>
      </c>
      <c r="B3" s="8" t="s">
        <v>14</v>
      </c>
      <c r="C3" s="8" t="s">
        <v>15</v>
      </c>
      <c r="D3" s="8" t="s">
        <v>17</v>
      </c>
      <c r="E3" s="8" t="s">
        <v>18</v>
      </c>
      <c r="F3" s="8" t="s">
        <v>20</v>
      </c>
      <c r="G3" s="8" t="s">
        <v>21</v>
      </c>
      <c r="H3" s="8" t="s">
        <v>22</v>
      </c>
    </row>
    <row r="4">
      <c r="A4" s="10">
        <v>1.0</v>
      </c>
      <c r="B4" s="10" t="s">
        <v>29</v>
      </c>
      <c r="C4" s="10" t="s">
        <v>31</v>
      </c>
      <c r="D4" s="10" t="s">
        <v>32</v>
      </c>
      <c r="E4" s="10" t="s">
        <v>34</v>
      </c>
      <c r="F4" s="10" t="s">
        <v>36</v>
      </c>
      <c r="G4" s="10" t="s">
        <v>37</v>
      </c>
      <c r="H4" s="10" t="s">
        <v>39</v>
      </c>
    </row>
    <row r="5">
      <c r="A5" s="12">
        <v>2.0</v>
      </c>
      <c r="B5" s="12" t="s">
        <v>29</v>
      </c>
      <c r="C5" s="12" t="s">
        <v>42</v>
      </c>
      <c r="D5" s="12" t="s">
        <v>43</v>
      </c>
      <c r="E5" s="12" t="s">
        <v>34</v>
      </c>
      <c r="F5" s="12" t="s">
        <v>45</v>
      </c>
      <c r="G5" s="12" t="s">
        <v>37</v>
      </c>
      <c r="H5" s="12" t="s">
        <v>39</v>
      </c>
    </row>
    <row r="6">
      <c r="A6" s="10">
        <v>3.0</v>
      </c>
      <c r="B6" s="10" t="s">
        <v>29</v>
      </c>
      <c r="C6" s="10" t="s">
        <v>50</v>
      </c>
      <c r="D6" s="10" t="s">
        <v>52</v>
      </c>
      <c r="E6" s="10" t="s">
        <v>34</v>
      </c>
      <c r="F6" s="10" t="s">
        <v>55</v>
      </c>
      <c r="G6" s="10" t="s">
        <v>37</v>
      </c>
      <c r="H6" s="10" t="s">
        <v>39</v>
      </c>
    </row>
    <row r="7">
      <c r="A7" s="12">
        <v>4.0</v>
      </c>
      <c r="B7" s="12" t="s">
        <v>29</v>
      </c>
      <c r="C7" s="12" t="s">
        <v>61</v>
      </c>
      <c r="D7" s="12" t="s">
        <v>62</v>
      </c>
      <c r="E7" s="12" t="s">
        <v>34</v>
      </c>
      <c r="F7" s="12" t="s">
        <v>66</v>
      </c>
      <c r="G7" s="12" t="s">
        <v>37</v>
      </c>
      <c r="H7" s="12" t="s">
        <v>39</v>
      </c>
    </row>
    <row r="8">
      <c r="A8" s="10">
        <v>5.0</v>
      </c>
      <c r="B8" s="10" t="s">
        <v>29</v>
      </c>
      <c r="C8" s="10" t="s">
        <v>71</v>
      </c>
      <c r="D8" s="10" t="s">
        <v>74</v>
      </c>
      <c r="E8" s="10" t="s">
        <v>34</v>
      </c>
      <c r="F8" s="10" t="s">
        <v>76</v>
      </c>
      <c r="G8" s="10" t="s">
        <v>37</v>
      </c>
      <c r="H8" s="10" t="s">
        <v>39</v>
      </c>
    </row>
    <row r="9">
      <c r="A9" s="12">
        <v>6.0</v>
      </c>
      <c r="B9" s="12" t="s">
        <v>29</v>
      </c>
      <c r="C9" s="12" t="s">
        <v>79</v>
      </c>
      <c r="D9" s="12" t="s">
        <v>81</v>
      </c>
      <c r="E9" s="12" t="s">
        <v>34</v>
      </c>
      <c r="F9" s="12" t="s">
        <v>84</v>
      </c>
      <c r="G9" s="12" t="s">
        <v>37</v>
      </c>
      <c r="H9" s="12" t="s">
        <v>39</v>
      </c>
    </row>
    <row r="10">
      <c r="A10" s="10">
        <v>7.0</v>
      </c>
      <c r="B10" s="10" t="s">
        <v>29</v>
      </c>
      <c r="C10" s="10" t="s">
        <v>90</v>
      </c>
      <c r="D10" s="10" t="s">
        <v>91</v>
      </c>
      <c r="E10" s="10" t="s">
        <v>34</v>
      </c>
      <c r="F10" s="10" t="s">
        <v>93</v>
      </c>
      <c r="G10" s="10" t="s">
        <v>37</v>
      </c>
      <c r="H10" s="10" t="s">
        <v>39</v>
      </c>
    </row>
    <row r="11">
      <c r="A11" s="12">
        <v>8.0</v>
      </c>
      <c r="B11" s="12" t="s">
        <v>29</v>
      </c>
      <c r="C11" s="12" t="s">
        <v>98</v>
      </c>
      <c r="D11" s="12" t="s">
        <v>99</v>
      </c>
      <c r="E11" s="12" t="s">
        <v>34</v>
      </c>
      <c r="F11" s="12" t="s">
        <v>101</v>
      </c>
      <c r="G11" s="12" t="s">
        <v>37</v>
      </c>
      <c r="H11" s="12" t="s">
        <v>39</v>
      </c>
    </row>
    <row r="12">
      <c r="A12" s="10">
        <v>9.0</v>
      </c>
      <c r="B12" s="10" t="s">
        <v>102</v>
      </c>
      <c r="C12" s="10" t="s">
        <v>49</v>
      </c>
      <c r="D12" s="10" t="s">
        <v>53</v>
      </c>
      <c r="E12" s="10" t="s">
        <v>107</v>
      </c>
      <c r="F12" s="10" t="s">
        <v>109</v>
      </c>
      <c r="G12" s="10" t="s">
        <v>37</v>
      </c>
      <c r="H12" s="10" t="s">
        <v>39</v>
      </c>
    </row>
    <row r="13">
      <c r="A13" s="12">
        <v>10.0</v>
      </c>
      <c r="B13" s="12" t="s">
        <v>102</v>
      </c>
      <c r="C13" s="12" t="s">
        <v>82</v>
      </c>
      <c r="D13" s="12" t="s">
        <v>83</v>
      </c>
      <c r="E13" s="12" t="s">
        <v>107</v>
      </c>
      <c r="F13" s="12" t="s">
        <v>116</v>
      </c>
      <c r="G13" s="12" t="s">
        <v>37</v>
      </c>
      <c r="H13" s="12" t="s">
        <v>39</v>
      </c>
    </row>
    <row r="14">
      <c r="A14" s="10">
        <v>11.0</v>
      </c>
      <c r="B14" s="10" t="s">
        <v>102</v>
      </c>
      <c r="C14" s="10" t="s">
        <v>103</v>
      </c>
      <c r="D14" s="10" t="s">
        <v>105</v>
      </c>
      <c r="E14" s="10" t="s">
        <v>107</v>
      </c>
      <c r="F14" s="10" t="s">
        <v>121</v>
      </c>
      <c r="G14" s="10" t="s">
        <v>37</v>
      </c>
      <c r="H14" s="10" t="s">
        <v>39</v>
      </c>
    </row>
    <row r="15">
      <c r="A15" s="12">
        <v>12.0</v>
      </c>
      <c r="B15" s="12" t="s">
        <v>102</v>
      </c>
      <c r="C15" s="12" t="s">
        <v>123</v>
      </c>
      <c r="D15" s="12" t="s">
        <v>124</v>
      </c>
      <c r="E15" s="12" t="s">
        <v>107</v>
      </c>
      <c r="F15" s="12" t="s">
        <v>130</v>
      </c>
      <c r="G15" s="12" t="s">
        <v>37</v>
      </c>
      <c r="H15" s="12" t="s">
        <v>39</v>
      </c>
    </row>
    <row r="16">
      <c r="A16" s="10">
        <v>13.0</v>
      </c>
      <c r="B16" s="10" t="s">
        <v>102</v>
      </c>
      <c r="C16" s="10" t="s">
        <v>134</v>
      </c>
      <c r="D16" s="10" t="s">
        <v>136</v>
      </c>
      <c r="E16" s="10" t="s">
        <v>107</v>
      </c>
      <c r="F16" s="10" t="s">
        <v>139</v>
      </c>
      <c r="G16" s="10" t="s">
        <v>37</v>
      </c>
      <c r="H16" s="10" t="s">
        <v>39</v>
      </c>
    </row>
    <row r="17">
      <c r="A17" s="12">
        <v>14.0</v>
      </c>
      <c r="B17" s="12" t="s">
        <v>102</v>
      </c>
      <c r="C17" s="12" t="s">
        <v>142</v>
      </c>
      <c r="D17" s="12" t="s">
        <v>144</v>
      </c>
      <c r="E17" s="12" t="s">
        <v>107</v>
      </c>
      <c r="F17" s="12" t="s">
        <v>146</v>
      </c>
      <c r="G17" s="12" t="s">
        <v>37</v>
      </c>
      <c r="H17" s="12" t="s">
        <v>39</v>
      </c>
    </row>
    <row r="18">
      <c r="A18" s="10">
        <v>15.0</v>
      </c>
      <c r="B18" s="10" t="s">
        <v>102</v>
      </c>
      <c r="C18" s="10" t="s">
        <v>152</v>
      </c>
      <c r="D18" s="10" t="s">
        <v>154</v>
      </c>
      <c r="E18" s="10" t="s">
        <v>107</v>
      </c>
      <c r="F18" s="10" t="s">
        <v>156</v>
      </c>
      <c r="G18" s="10" t="s">
        <v>37</v>
      </c>
      <c r="H18" s="10" t="s">
        <v>39</v>
      </c>
    </row>
    <row r="19">
      <c r="A19" s="12">
        <v>16.0</v>
      </c>
      <c r="B19" s="12" t="s">
        <v>102</v>
      </c>
      <c r="C19" s="12" t="s">
        <v>161</v>
      </c>
      <c r="D19" s="12" t="s">
        <v>163</v>
      </c>
      <c r="E19" s="12" t="s">
        <v>107</v>
      </c>
      <c r="F19" s="12" t="s">
        <v>164</v>
      </c>
      <c r="G19" s="12" t="s">
        <v>37</v>
      </c>
      <c r="H19" s="12" t="s">
        <v>39</v>
      </c>
    </row>
    <row r="20">
      <c r="A20" s="10">
        <v>17.0</v>
      </c>
      <c r="B20" s="10" t="s">
        <v>102</v>
      </c>
      <c r="C20" s="10" t="s">
        <v>167</v>
      </c>
      <c r="D20" s="10" t="s">
        <v>170</v>
      </c>
      <c r="E20" s="10" t="s">
        <v>107</v>
      </c>
      <c r="F20" s="10" t="s">
        <v>172</v>
      </c>
      <c r="G20" s="10" t="s">
        <v>37</v>
      </c>
      <c r="H20" s="10" t="s">
        <v>39</v>
      </c>
    </row>
    <row r="21" ht="15.75" customHeight="1">
      <c r="A21" s="12">
        <v>18.0</v>
      </c>
      <c r="B21" s="12" t="s">
        <v>102</v>
      </c>
      <c r="C21" s="12" t="s">
        <v>178</v>
      </c>
      <c r="D21" s="12" t="s">
        <v>180</v>
      </c>
      <c r="E21" s="12" t="s">
        <v>107</v>
      </c>
      <c r="F21" s="12" t="s">
        <v>182</v>
      </c>
      <c r="G21" s="12" t="s">
        <v>37</v>
      </c>
      <c r="H21" s="12" t="s">
        <v>39</v>
      </c>
    </row>
    <row r="22" ht="15.75" customHeight="1">
      <c r="A22" s="10">
        <v>19.0</v>
      </c>
      <c r="B22" s="10" t="s">
        <v>102</v>
      </c>
      <c r="C22" s="10" t="s">
        <v>185</v>
      </c>
      <c r="D22" s="10" t="s">
        <v>187</v>
      </c>
      <c r="E22" s="10" t="s">
        <v>107</v>
      </c>
      <c r="F22" s="10" t="s">
        <v>189</v>
      </c>
      <c r="G22" s="10" t="s">
        <v>37</v>
      </c>
      <c r="H22" s="10" t="s">
        <v>39</v>
      </c>
    </row>
    <row r="23" ht="15.75" customHeight="1">
      <c r="A23" s="12">
        <v>20.0</v>
      </c>
      <c r="B23" s="12" t="s">
        <v>102</v>
      </c>
      <c r="C23" s="12" t="s">
        <v>195</v>
      </c>
      <c r="D23" s="12" t="s">
        <v>196</v>
      </c>
      <c r="E23" s="12" t="s">
        <v>107</v>
      </c>
      <c r="F23" s="12" t="s">
        <v>198</v>
      </c>
      <c r="G23" s="12" t="s">
        <v>37</v>
      </c>
      <c r="H23" s="12" t="s">
        <v>39</v>
      </c>
    </row>
    <row r="24" ht="15.75" customHeight="1">
      <c r="A24" s="10">
        <v>21.0</v>
      </c>
      <c r="B24" s="10" t="s">
        <v>201</v>
      </c>
      <c r="C24" s="10" t="s">
        <v>202</v>
      </c>
      <c r="D24" s="10" t="s">
        <v>203</v>
      </c>
      <c r="E24" s="10" t="s">
        <v>205</v>
      </c>
      <c r="F24" s="10" t="s">
        <v>207</v>
      </c>
      <c r="G24" s="10" t="s">
        <v>208</v>
      </c>
      <c r="H24" s="10" t="s">
        <v>39</v>
      </c>
    </row>
    <row r="25" ht="15.75" customHeight="1">
      <c r="A25" s="12">
        <v>22.0</v>
      </c>
      <c r="B25" s="12" t="s">
        <v>201</v>
      </c>
      <c r="C25" s="12" t="s">
        <v>211</v>
      </c>
      <c r="D25" s="12" t="s">
        <v>213</v>
      </c>
      <c r="E25" s="12" t="s">
        <v>205</v>
      </c>
      <c r="F25" s="12" t="s">
        <v>215</v>
      </c>
      <c r="G25" s="12" t="s">
        <v>208</v>
      </c>
      <c r="H25" s="12" t="s">
        <v>39</v>
      </c>
    </row>
    <row r="26" ht="15.75" customHeight="1">
      <c r="A26" s="10">
        <v>23.0</v>
      </c>
      <c r="B26" s="10" t="s">
        <v>201</v>
      </c>
      <c r="C26" s="10" t="s">
        <v>222</v>
      </c>
      <c r="D26" s="10" t="s">
        <v>224</v>
      </c>
      <c r="E26" s="10" t="s">
        <v>205</v>
      </c>
      <c r="F26" s="10" t="s">
        <v>227</v>
      </c>
      <c r="G26" s="10" t="s">
        <v>208</v>
      </c>
      <c r="H26" s="10" t="s">
        <v>39</v>
      </c>
    </row>
    <row r="27" ht="15.75" customHeight="1">
      <c r="A27" s="12">
        <v>24.0</v>
      </c>
      <c r="B27" s="12" t="s">
        <v>201</v>
      </c>
      <c r="C27" s="12" t="s">
        <v>230</v>
      </c>
      <c r="D27" s="12" t="s">
        <v>231</v>
      </c>
      <c r="E27" s="12" t="s">
        <v>205</v>
      </c>
      <c r="F27" s="12" t="s">
        <v>232</v>
      </c>
      <c r="G27" s="12" t="s">
        <v>208</v>
      </c>
      <c r="H27" s="12" t="s">
        <v>39</v>
      </c>
    </row>
    <row r="28" ht="15.75" customHeight="1">
      <c r="A28" s="10">
        <v>25.0</v>
      </c>
      <c r="B28" s="10" t="s">
        <v>201</v>
      </c>
      <c r="C28" s="10" t="s">
        <v>236</v>
      </c>
      <c r="D28" s="10" t="s">
        <v>238</v>
      </c>
      <c r="E28" s="10" t="s">
        <v>205</v>
      </c>
      <c r="F28" s="10" t="s">
        <v>239</v>
      </c>
      <c r="G28" s="10" t="s">
        <v>208</v>
      </c>
      <c r="H28" s="10" t="s">
        <v>39</v>
      </c>
    </row>
    <row r="29" ht="15.75" customHeight="1">
      <c r="A29" s="12">
        <v>26.0</v>
      </c>
      <c r="B29" s="12" t="s">
        <v>201</v>
      </c>
      <c r="C29" s="12" t="s">
        <v>242</v>
      </c>
      <c r="D29" s="12" t="s">
        <v>243</v>
      </c>
      <c r="E29" s="12" t="s">
        <v>205</v>
      </c>
      <c r="F29" s="12" t="s">
        <v>244</v>
      </c>
      <c r="G29" s="12" t="s">
        <v>208</v>
      </c>
      <c r="H29" s="12" t="s">
        <v>39</v>
      </c>
    </row>
    <row r="30" ht="15.75" customHeight="1">
      <c r="A30" s="10">
        <v>27.0</v>
      </c>
      <c r="B30" s="10" t="s">
        <v>246</v>
      </c>
      <c r="C30" s="10" t="s">
        <v>248</v>
      </c>
      <c r="D30" s="10" t="s">
        <v>250</v>
      </c>
      <c r="E30" s="10" t="s">
        <v>107</v>
      </c>
      <c r="F30" s="10" t="s">
        <v>251</v>
      </c>
      <c r="G30" s="10" t="s">
        <v>253</v>
      </c>
      <c r="H30" s="10" t="s">
        <v>39</v>
      </c>
    </row>
    <row r="31" ht="15.75" customHeight="1">
      <c r="A31" s="12">
        <v>28.0</v>
      </c>
      <c r="B31" s="12" t="s">
        <v>246</v>
      </c>
      <c r="C31" s="12" t="s">
        <v>255</v>
      </c>
      <c r="D31" s="12" t="s">
        <v>257</v>
      </c>
      <c r="E31" s="12" t="s">
        <v>107</v>
      </c>
      <c r="F31" s="12" t="s">
        <v>258</v>
      </c>
      <c r="G31" s="12" t="s">
        <v>253</v>
      </c>
      <c r="H31" s="12" t="s">
        <v>39</v>
      </c>
    </row>
    <row r="32" ht="15.75" customHeight="1">
      <c r="A32" s="10">
        <v>29.0</v>
      </c>
      <c r="B32" s="10" t="s">
        <v>246</v>
      </c>
      <c r="C32" s="10" t="s">
        <v>260</v>
      </c>
      <c r="D32" s="10" t="s">
        <v>262</v>
      </c>
      <c r="E32" s="10" t="s">
        <v>107</v>
      </c>
      <c r="F32" s="10" t="s">
        <v>264</v>
      </c>
      <c r="G32" s="10" t="s">
        <v>253</v>
      </c>
      <c r="H32" s="10" t="s">
        <v>39</v>
      </c>
    </row>
    <row r="33" ht="15.75" customHeight="1">
      <c r="A33" s="12">
        <v>30.0</v>
      </c>
      <c r="B33" s="12" t="s">
        <v>246</v>
      </c>
      <c r="C33" s="12" t="s">
        <v>268</v>
      </c>
      <c r="D33" s="12" t="s">
        <v>269</v>
      </c>
      <c r="E33" s="12" t="s">
        <v>107</v>
      </c>
      <c r="F33" s="12" t="s">
        <v>270</v>
      </c>
      <c r="G33" s="12" t="s">
        <v>253</v>
      </c>
      <c r="H33" s="12" t="s">
        <v>39</v>
      </c>
    </row>
    <row r="34" ht="15.75" customHeight="1">
      <c r="A34" s="10">
        <v>31.0</v>
      </c>
      <c r="B34" s="10" t="s">
        <v>246</v>
      </c>
      <c r="C34" s="10" t="s">
        <v>274</v>
      </c>
      <c r="D34" s="10" t="s">
        <v>276</v>
      </c>
      <c r="E34" s="10" t="s">
        <v>107</v>
      </c>
      <c r="F34" s="10" t="s">
        <v>277</v>
      </c>
      <c r="G34" s="10" t="s">
        <v>253</v>
      </c>
      <c r="H34" s="10" t="s">
        <v>39</v>
      </c>
    </row>
    <row r="35" ht="15.75" customHeight="1">
      <c r="A35" s="12">
        <v>32.0</v>
      </c>
      <c r="B35" s="12" t="s">
        <v>246</v>
      </c>
      <c r="C35" s="12" t="s">
        <v>280</v>
      </c>
      <c r="D35" s="12" t="s">
        <v>281</v>
      </c>
      <c r="E35" s="12" t="s">
        <v>107</v>
      </c>
      <c r="F35" s="12" t="s">
        <v>282</v>
      </c>
      <c r="G35" s="12" t="s">
        <v>253</v>
      </c>
      <c r="H35" s="12" t="s">
        <v>39</v>
      </c>
    </row>
    <row r="36" ht="15.75" customHeight="1"/>
    <row r="37" ht="15.75" customHeight="1">
      <c r="A37" s="14" t="s">
        <v>283</v>
      </c>
    </row>
    <row r="38" ht="15.75" customHeight="1">
      <c r="A38" s="15" t="s">
        <v>284</v>
      </c>
      <c r="B38" s="14">
        <f>COUNTA(A4:A35)</f>
        <v>32</v>
      </c>
    </row>
    <row r="39" ht="15.75" customHeight="1">
      <c r="A39" s="15" t="s">
        <v>285</v>
      </c>
      <c r="B39" s="14">
        <f>COUNTIF(E4:E35,"P0")</f>
        <v>8</v>
      </c>
    </row>
    <row r="40" ht="15.75" customHeight="1">
      <c r="A40" s="15" t="s">
        <v>287</v>
      </c>
      <c r="B40" s="14">
        <f>COUNTIF(E4:E35,"P1")</f>
        <v>18</v>
      </c>
    </row>
    <row r="41" ht="15.75" customHeight="1">
      <c r="A41" s="15" t="s">
        <v>289</v>
      </c>
      <c r="B41" s="14">
        <f>COUNTIF(E4:E35,"P2")</f>
        <v>6</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2.0"/>
    <col customWidth="1" min="3" max="3" width="26.0"/>
    <col customWidth="1" min="4" max="4" width="30.0"/>
    <col customWidth="1" min="5" max="5" width="26.0"/>
    <col customWidth="1" min="6" max="6" width="30.0"/>
    <col customWidth="1" min="7" max="7" width="60.0"/>
    <col customWidth="1" min="8" max="8" width="30.0"/>
    <col customWidth="1" min="9" max="9" width="70.0"/>
    <col customWidth="1" min="10" max="10" width="26.0"/>
    <col customWidth="1" min="11" max="11" width="40.0"/>
    <col customWidth="1" min="12" max="26" width="8.71"/>
  </cols>
  <sheetData>
    <row r="1" ht="30.0" customHeight="1">
      <c r="A1" s="3" t="s">
        <v>3</v>
      </c>
      <c r="B1" s="5"/>
      <c r="C1" s="5"/>
      <c r="D1" s="5"/>
      <c r="E1" s="5"/>
      <c r="F1" s="5"/>
      <c r="G1" s="5"/>
      <c r="H1" s="5"/>
      <c r="I1" s="5"/>
      <c r="J1" s="5"/>
      <c r="K1" s="7"/>
    </row>
    <row r="2" ht="19.5" customHeight="1">
      <c r="A2" s="2" t="s">
        <v>12</v>
      </c>
    </row>
    <row r="3" ht="33.75" customHeight="1">
      <c r="A3" s="8" t="s">
        <v>10</v>
      </c>
      <c r="B3" s="8" t="s">
        <v>15</v>
      </c>
      <c r="C3" s="8" t="s">
        <v>17</v>
      </c>
      <c r="D3" s="8" t="s">
        <v>25</v>
      </c>
      <c r="E3" s="8" t="s">
        <v>26</v>
      </c>
      <c r="F3" s="8" t="s">
        <v>28</v>
      </c>
      <c r="G3" s="8" t="s">
        <v>30</v>
      </c>
      <c r="H3" s="8" t="s">
        <v>33</v>
      </c>
      <c r="I3" s="8" t="s">
        <v>35</v>
      </c>
      <c r="J3" s="8" t="s">
        <v>38</v>
      </c>
      <c r="K3" s="8" t="s">
        <v>40</v>
      </c>
    </row>
    <row r="4" ht="219.75" customHeight="1">
      <c r="A4" s="10">
        <v>1.0</v>
      </c>
      <c r="B4" s="10" t="s">
        <v>31</v>
      </c>
      <c r="C4" s="10" t="s">
        <v>32</v>
      </c>
      <c r="D4" s="10" t="s">
        <v>46</v>
      </c>
      <c r="E4" s="10" t="s">
        <v>47</v>
      </c>
      <c r="F4" s="10" t="s">
        <v>48</v>
      </c>
      <c r="G4" s="10" t="s">
        <v>54</v>
      </c>
      <c r="H4" s="10" t="s">
        <v>58</v>
      </c>
      <c r="I4" s="10" t="s">
        <v>64</v>
      </c>
      <c r="J4" s="10" t="s">
        <v>67</v>
      </c>
      <c r="K4" s="10" t="s">
        <v>70</v>
      </c>
    </row>
    <row r="5" ht="219.75" customHeight="1">
      <c r="A5" s="12">
        <v>2.0</v>
      </c>
      <c r="B5" s="12" t="s">
        <v>42</v>
      </c>
      <c r="C5" s="12" t="s">
        <v>43</v>
      </c>
      <c r="D5" s="12" t="s">
        <v>77</v>
      </c>
      <c r="E5" s="12" t="s">
        <v>78</v>
      </c>
      <c r="F5" s="12" t="s">
        <v>80</v>
      </c>
      <c r="G5" s="12" t="s">
        <v>85</v>
      </c>
      <c r="H5" s="12" t="s">
        <v>87</v>
      </c>
      <c r="I5" s="12" t="s">
        <v>94</v>
      </c>
      <c r="J5" s="12" t="s">
        <v>96</v>
      </c>
      <c r="K5" s="12" t="s">
        <v>70</v>
      </c>
    </row>
    <row r="6" ht="219.75" customHeight="1">
      <c r="A6" s="10">
        <v>3.0</v>
      </c>
      <c r="B6" s="10" t="s">
        <v>50</v>
      </c>
      <c r="C6" s="10" t="s">
        <v>52</v>
      </c>
      <c r="D6" s="10" t="s">
        <v>104</v>
      </c>
      <c r="E6" s="10" t="s">
        <v>106</v>
      </c>
      <c r="F6" s="10" t="s">
        <v>110</v>
      </c>
      <c r="G6" s="10" t="s">
        <v>113</v>
      </c>
      <c r="H6" s="10" t="s">
        <v>115</v>
      </c>
      <c r="I6" s="10" t="s">
        <v>118</v>
      </c>
      <c r="J6" s="10" t="s">
        <v>120</v>
      </c>
      <c r="K6" s="10" t="s">
        <v>122</v>
      </c>
    </row>
    <row r="7" ht="219.75" customHeight="1">
      <c r="A7" s="12">
        <v>4.0</v>
      </c>
      <c r="B7" s="12" t="s">
        <v>61</v>
      </c>
      <c r="C7" s="12" t="s">
        <v>62</v>
      </c>
      <c r="D7" s="12" t="s">
        <v>126</v>
      </c>
      <c r="E7" s="12" t="s">
        <v>128</v>
      </c>
      <c r="F7" s="12" t="s">
        <v>131</v>
      </c>
      <c r="G7" s="12" t="s">
        <v>133</v>
      </c>
      <c r="H7" s="12" t="s">
        <v>137</v>
      </c>
      <c r="I7" s="12" t="s">
        <v>140</v>
      </c>
      <c r="J7" s="12" t="s">
        <v>141</v>
      </c>
      <c r="K7" s="12" t="s">
        <v>70</v>
      </c>
    </row>
    <row r="8" ht="219.75" customHeight="1">
      <c r="A8" s="10">
        <v>5.0</v>
      </c>
      <c r="B8" s="10" t="s">
        <v>71</v>
      </c>
      <c r="C8" s="10" t="s">
        <v>74</v>
      </c>
      <c r="D8" s="10" t="s">
        <v>148</v>
      </c>
      <c r="E8" s="10" t="s">
        <v>149</v>
      </c>
      <c r="F8" s="10" t="s">
        <v>150</v>
      </c>
      <c r="G8" s="10" t="s">
        <v>155</v>
      </c>
      <c r="H8" s="10" t="s">
        <v>157</v>
      </c>
      <c r="I8" s="10" t="s">
        <v>160</v>
      </c>
      <c r="J8" s="10" t="s">
        <v>162</v>
      </c>
      <c r="K8" s="10" t="s">
        <v>70</v>
      </c>
    </row>
    <row r="9" ht="219.75" customHeight="1">
      <c r="A9" s="12">
        <v>6.0</v>
      </c>
      <c r="B9" s="12" t="s">
        <v>79</v>
      </c>
      <c r="C9" s="12" t="s">
        <v>81</v>
      </c>
      <c r="D9" s="12" t="s">
        <v>168</v>
      </c>
      <c r="E9" s="12" t="s">
        <v>171</v>
      </c>
      <c r="F9" s="12" t="s">
        <v>174</v>
      </c>
      <c r="G9" s="12" t="s">
        <v>176</v>
      </c>
      <c r="H9" s="12" t="s">
        <v>177</v>
      </c>
      <c r="I9" s="12" t="s">
        <v>183</v>
      </c>
      <c r="J9" s="12" t="s">
        <v>184</v>
      </c>
      <c r="K9" s="12" t="s">
        <v>70</v>
      </c>
    </row>
    <row r="10" ht="219.75" customHeight="1">
      <c r="A10" s="10">
        <v>7.0</v>
      </c>
      <c r="B10" s="10" t="s">
        <v>90</v>
      </c>
      <c r="C10" s="10" t="s">
        <v>91</v>
      </c>
      <c r="D10" s="10" t="s">
        <v>192</v>
      </c>
      <c r="E10" s="10" t="s">
        <v>194</v>
      </c>
      <c r="F10" s="10" t="s">
        <v>197</v>
      </c>
      <c r="G10" s="10" t="s">
        <v>199</v>
      </c>
      <c r="H10" s="10" t="s">
        <v>200</v>
      </c>
      <c r="I10" s="10" t="s">
        <v>204</v>
      </c>
      <c r="J10" s="10" t="s">
        <v>206</v>
      </c>
      <c r="K10" s="10" t="s">
        <v>70</v>
      </c>
    </row>
    <row r="11" ht="219.75" customHeight="1">
      <c r="A11" s="12">
        <v>8.0</v>
      </c>
      <c r="B11" s="12" t="s">
        <v>98</v>
      </c>
      <c r="C11" s="12" t="s">
        <v>99</v>
      </c>
      <c r="D11" s="12" t="s">
        <v>212</v>
      </c>
      <c r="E11" s="12" t="s">
        <v>214</v>
      </c>
      <c r="F11" s="12" t="s">
        <v>216</v>
      </c>
      <c r="G11" s="12" t="s">
        <v>219</v>
      </c>
      <c r="H11" s="12" t="s">
        <v>221</v>
      </c>
      <c r="I11" s="12" t="s">
        <v>225</v>
      </c>
      <c r="J11" s="12" t="s">
        <v>226</v>
      </c>
      <c r="K11" s="12"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2.0"/>
    <col customWidth="1" min="3" max="3" width="26.0"/>
    <col customWidth="1" min="4" max="4" width="30.0"/>
    <col customWidth="1" min="5" max="5" width="26.0"/>
    <col customWidth="1" min="6" max="6" width="30.0"/>
    <col customWidth="1" min="7" max="7" width="60.0"/>
    <col customWidth="1" min="8" max="8" width="30.0"/>
    <col customWidth="1" min="9" max="9" width="70.0"/>
    <col customWidth="1" min="10" max="10" width="26.0"/>
    <col customWidth="1" min="11" max="11" width="40.0"/>
    <col customWidth="1" min="12" max="26" width="8.71"/>
  </cols>
  <sheetData>
    <row r="1" ht="30.0" customHeight="1">
      <c r="A1" s="3" t="s">
        <v>2</v>
      </c>
      <c r="B1" s="5"/>
      <c r="C1" s="5"/>
      <c r="D1" s="5"/>
      <c r="E1" s="5"/>
      <c r="F1" s="5"/>
      <c r="G1" s="5"/>
      <c r="H1" s="5"/>
      <c r="I1" s="5"/>
      <c r="J1" s="5"/>
      <c r="K1" s="7"/>
    </row>
    <row r="2" ht="19.5" customHeight="1">
      <c r="A2" s="2" t="s">
        <v>13</v>
      </c>
    </row>
    <row r="3" ht="33.75" customHeight="1">
      <c r="A3" s="8" t="s">
        <v>10</v>
      </c>
      <c r="B3" s="8" t="s">
        <v>15</v>
      </c>
      <c r="C3" s="8" t="s">
        <v>17</v>
      </c>
      <c r="D3" s="8" t="s">
        <v>25</v>
      </c>
      <c r="E3" s="8" t="s">
        <v>26</v>
      </c>
      <c r="F3" s="8" t="s">
        <v>28</v>
      </c>
      <c r="G3" s="8" t="s">
        <v>30</v>
      </c>
      <c r="H3" s="8" t="s">
        <v>33</v>
      </c>
      <c r="I3" s="8" t="s">
        <v>35</v>
      </c>
      <c r="J3" s="8" t="s">
        <v>38</v>
      </c>
      <c r="K3" s="8" t="s">
        <v>40</v>
      </c>
    </row>
    <row r="4" ht="219.75" customHeight="1">
      <c r="A4" s="10">
        <v>1.0</v>
      </c>
      <c r="B4" s="10" t="s">
        <v>49</v>
      </c>
      <c r="C4" s="10" t="s">
        <v>53</v>
      </c>
      <c r="D4" s="10" t="s">
        <v>56</v>
      </c>
      <c r="E4" s="10" t="s">
        <v>59</v>
      </c>
      <c r="F4" s="10" t="s">
        <v>60</v>
      </c>
      <c r="G4" s="10" t="s">
        <v>65</v>
      </c>
      <c r="H4" s="10" t="s">
        <v>68</v>
      </c>
      <c r="I4" s="10" t="s">
        <v>73</v>
      </c>
      <c r="J4" s="10" t="s">
        <v>75</v>
      </c>
      <c r="K4" s="10" t="s">
        <v>70</v>
      </c>
    </row>
    <row r="5" ht="219.75" customHeight="1">
      <c r="A5" s="12">
        <v>2.0</v>
      </c>
      <c r="B5" s="12" t="s">
        <v>82</v>
      </c>
      <c r="C5" s="12" t="s">
        <v>83</v>
      </c>
      <c r="D5" s="12" t="s">
        <v>86</v>
      </c>
      <c r="E5" s="12" t="s">
        <v>88</v>
      </c>
      <c r="F5" s="12" t="s">
        <v>89</v>
      </c>
      <c r="G5" s="12" t="s">
        <v>92</v>
      </c>
      <c r="H5" s="12" t="s">
        <v>95</v>
      </c>
      <c r="I5" s="12" t="s">
        <v>97</v>
      </c>
      <c r="J5" s="12" t="s">
        <v>100</v>
      </c>
      <c r="K5" s="12" t="s">
        <v>70</v>
      </c>
    </row>
    <row r="6" ht="219.75" customHeight="1">
      <c r="A6" s="10">
        <v>3.0</v>
      </c>
      <c r="B6" s="10" t="s">
        <v>103</v>
      </c>
      <c r="C6" s="10" t="s">
        <v>105</v>
      </c>
      <c r="D6" s="10" t="s">
        <v>108</v>
      </c>
      <c r="E6" s="10" t="s">
        <v>111</v>
      </c>
      <c r="F6" s="10" t="s">
        <v>112</v>
      </c>
      <c r="G6" s="10" t="s">
        <v>114</v>
      </c>
      <c r="H6" s="10" t="s">
        <v>95</v>
      </c>
      <c r="I6" s="10" t="s">
        <v>117</v>
      </c>
      <c r="J6" s="10" t="s">
        <v>119</v>
      </c>
      <c r="K6" s="10" t="s">
        <v>70</v>
      </c>
    </row>
    <row r="7" ht="219.75" customHeight="1">
      <c r="A7" s="12">
        <v>4.0</v>
      </c>
      <c r="B7" s="12" t="s">
        <v>123</v>
      </c>
      <c r="C7" s="12" t="s">
        <v>124</v>
      </c>
      <c r="D7" s="12" t="s">
        <v>125</v>
      </c>
      <c r="E7" s="12" t="s">
        <v>127</v>
      </c>
      <c r="F7" s="12" t="s">
        <v>129</v>
      </c>
      <c r="G7" s="12" t="s">
        <v>132</v>
      </c>
      <c r="H7" s="12" t="s">
        <v>95</v>
      </c>
      <c r="I7" s="12" t="s">
        <v>135</v>
      </c>
      <c r="J7" s="12" t="s">
        <v>138</v>
      </c>
      <c r="K7" s="12" t="s">
        <v>70</v>
      </c>
    </row>
    <row r="8" ht="219.75" customHeight="1">
      <c r="A8" s="10">
        <v>5.0</v>
      </c>
      <c r="B8" s="10" t="s">
        <v>134</v>
      </c>
      <c r="C8" s="10" t="s">
        <v>136</v>
      </c>
      <c r="D8" s="10" t="s">
        <v>143</v>
      </c>
      <c r="E8" s="10" t="s">
        <v>145</v>
      </c>
      <c r="F8" s="10" t="s">
        <v>147</v>
      </c>
      <c r="G8" s="10" t="s">
        <v>151</v>
      </c>
      <c r="H8" s="10" t="s">
        <v>153</v>
      </c>
      <c r="I8" s="10" t="s">
        <v>158</v>
      </c>
      <c r="J8" s="10" t="s">
        <v>159</v>
      </c>
      <c r="K8" s="10" t="s">
        <v>70</v>
      </c>
    </row>
    <row r="9" ht="219.75" customHeight="1">
      <c r="A9" s="12">
        <v>6.0</v>
      </c>
      <c r="B9" s="12" t="s">
        <v>142</v>
      </c>
      <c r="C9" s="12" t="s">
        <v>144</v>
      </c>
      <c r="D9" s="12" t="s">
        <v>165</v>
      </c>
      <c r="E9" s="12" t="s">
        <v>166</v>
      </c>
      <c r="F9" s="12" t="s">
        <v>169</v>
      </c>
      <c r="G9" s="12" t="s">
        <v>173</v>
      </c>
      <c r="H9" s="12" t="s">
        <v>175</v>
      </c>
      <c r="I9" s="12" t="s">
        <v>179</v>
      </c>
      <c r="J9" s="12" t="s">
        <v>181</v>
      </c>
      <c r="K9" s="12" t="s">
        <v>70</v>
      </c>
    </row>
    <row r="10" ht="219.75" customHeight="1">
      <c r="A10" s="10">
        <v>7.0</v>
      </c>
      <c r="B10" s="10" t="s">
        <v>152</v>
      </c>
      <c r="C10" s="10" t="s">
        <v>154</v>
      </c>
      <c r="D10" s="10" t="s">
        <v>186</v>
      </c>
      <c r="E10" s="10" t="s">
        <v>188</v>
      </c>
      <c r="F10" s="10" t="s">
        <v>190</v>
      </c>
      <c r="G10" s="10" t="s">
        <v>191</v>
      </c>
      <c r="H10" s="10" t="s">
        <v>193</v>
      </c>
      <c r="I10" s="10" t="s">
        <v>209</v>
      </c>
      <c r="J10" s="10" t="s">
        <v>210</v>
      </c>
      <c r="K10" s="10" t="s">
        <v>70</v>
      </c>
    </row>
    <row r="11" ht="219.75" customHeight="1">
      <c r="A11" s="12">
        <v>8.0</v>
      </c>
      <c r="B11" s="12" t="s">
        <v>161</v>
      </c>
      <c r="C11" s="12" t="s">
        <v>163</v>
      </c>
      <c r="D11" s="12" t="s">
        <v>217</v>
      </c>
      <c r="E11" s="12" t="s">
        <v>218</v>
      </c>
      <c r="F11" s="12" t="s">
        <v>220</v>
      </c>
      <c r="G11" s="12" t="s">
        <v>223</v>
      </c>
      <c r="H11" s="12" t="s">
        <v>95</v>
      </c>
      <c r="I11" s="12" t="s">
        <v>228</v>
      </c>
      <c r="J11" s="12" t="s">
        <v>229</v>
      </c>
      <c r="K11" s="12" t="s">
        <v>70</v>
      </c>
    </row>
    <row r="12" ht="219.75" customHeight="1">
      <c r="A12" s="10">
        <v>9.0</v>
      </c>
      <c r="B12" s="10" t="s">
        <v>167</v>
      </c>
      <c r="C12" s="10" t="s">
        <v>170</v>
      </c>
      <c r="D12" s="10" t="s">
        <v>233</v>
      </c>
      <c r="E12" s="10" t="s">
        <v>234</v>
      </c>
      <c r="F12" s="10" t="s">
        <v>235</v>
      </c>
      <c r="G12" s="10" t="s">
        <v>237</v>
      </c>
      <c r="H12" s="10" t="s">
        <v>95</v>
      </c>
      <c r="I12" s="10" t="s">
        <v>240</v>
      </c>
      <c r="J12" s="10" t="s">
        <v>241</v>
      </c>
      <c r="K12" s="10" t="s">
        <v>70</v>
      </c>
    </row>
    <row r="13" ht="219.75" customHeight="1">
      <c r="A13" s="12">
        <v>10.0</v>
      </c>
      <c r="B13" s="12" t="s">
        <v>178</v>
      </c>
      <c r="C13" s="12" t="s">
        <v>180</v>
      </c>
      <c r="D13" s="12" t="s">
        <v>245</v>
      </c>
      <c r="E13" s="12" t="s">
        <v>247</v>
      </c>
      <c r="F13" s="12" t="s">
        <v>249</v>
      </c>
      <c r="G13" s="12" t="s">
        <v>252</v>
      </c>
      <c r="H13" s="12" t="s">
        <v>95</v>
      </c>
      <c r="I13" s="12" t="s">
        <v>254</v>
      </c>
      <c r="J13" s="12" t="s">
        <v>256</v>
      </c>
      <c r="K13" s="12" t="s">
        <v>70</v>
      </c>
    </row>
    <row r="14" ht="219.75" customHeight="1">
      <c r="A14" s="10">
        <v>11.0</v>
      </c>
      <c r="B14" s="10" t="s">
        <v>185</v>
      </c>
      <c r="C14" s="10" t="s">
        <v>187</v>
      </c>
      <c r="D14" s="10" t="s">
        <v>259</v>
      </c>
      <c r="E14" s="10" t="s">
        <v>261</v>
      </c>
      <c r="F14" s="10" t="s">
        <v>263</v>
      </c>
      <c r="G14" s="10" t="s">
        <v>265</v>
      </c>
      <c r="H14" s="10" t="s">
        <v>95</v>
      </c>
      <c r="I14" s="10" t="s">
        <v>266</v>
      </c>
      <c r="J14" s="10" t="s">
        <v>267</v>
      </c>
      <c r="K14" s="10" t="s">
        <v>70</v>
      </c>
    </row>
    <row r="15" ht="219.75" customHeight="1">
      <c r="A15" s="12">
        <v>12.0</v>
      </c>
      <c r="B15" s="12" t="s">
        <v>195</v>
      </c>
      <c r="C15" s="12" t="s">
        <v>196</v>
      </c>
      <c r="D15" s="12" t="s">
        <v>271</v>
      </c>
      <c r="E15" s="12" t="s">
        <v>272</v>
      </c>
      <c r="F15" s="12" t="s">
        <v>273</v>
      </c>
      <c r="G15" s="12" t="s">
        <v>275</v>
      </c>
      <c r="H15" s="12" t="s">
        <v>95</v>
      </c>
      <c r="I15" s="12" t="s">
        <v>278</v>
      </c>
      <c r="J15" s="12" t="s">
        <v>279</v>
      </c>
      <c r="K15" s="12"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2.0"/>
    <col customWidth="1" min="3" max="3" width="26.0"/>
    <col customWidth="1" min="4" max="4" width="30.0"/>
    <col customWidth="1" min="5" max="5" width="26.0"/>
    <col customWidth="1" min="6" max="6" width="30.0"/>
    <col customWidth="1" min="7" max="7" width="60.0"/>
    <col customWidth="1" min="8" max="8" width="30.0"/>
    <col customWidth="1" min="9" max="9" width="70.0"/>
    <col customWidth="1" min="10" max="10" width="26.0"/>
    <col customWidth="1" min="11" max="11" width="40.0"/>
    <col customWidth="1" min="12" max="26" width="8.71"/>
  </cols>
  <sheetData>
    <row r="1" ht="30.0" customHeight="1">
      <c r="A1" s="3" t="s">
        <v>286</v>
      </c>
      <c r="B1" s="5"/>
      <c r="C1" s="5"/>
      <c r="D1" s="5"/>
      <c r="E1" s="5"/>
      <c r="F1" s="5"/>
      <c r="G1" s="5"/>
      <c r="H1" s="5"/>
      <c r="I1" s="5"/>
      <c r="J1" s="5"/>
      <c r="K1" s="7"/>
    </row>
    <row r="2" ht="19.5" customHeight="1">
      <c r="A2" s="2" t="s">
        <v>288</v>
      </c>
    </row>
    <row r="3" ht="33.75" customHeight="1">
      <c r="A3" s="8" t="s">
        <v>10</v>
      </c>
      <c r="B3" s="8" t="s">
        <v>15</v>
      </c>
      <c r="C3" s="8" t="s">
        <v>17</v>
      </c>
      <c r="D3" s="8" t="s">
        <v>25</v>
      </c>
      <c r="E3" s="8" t="s">
        <v>26</v>
      </c>
      <c r="F3" s="8" t="s">
        <v>28</v>
      </c>
      <c r="G3" s="8" t="s">
        <v>30</v>
      </c>
      <c r="H3" s="8" t="s">
        <v>33</v>
      </c>
      <c r="I3" s="8" t="s">
        <v>35</v>
      </c>
      <c r="J3" s="8" t="s">
        <v>38</v>
      </c>
      <c r="K3" s="8" t="s">
        <v>40</v>
      </c>
    </row>
    <row r="4" ht="219.75" customHeight="1">
      <c r="A4" s="10">
        <v>1.0</v>
      </c>
      <c r="B4" s="10" t="s">
        <v>202</v>
      </c>
      <c r="C4" s="10" t="s">
        <v>203</v>
      </c>
      <c r="D4" s="10" t="s">
        <v>290</v>
      </c>
      <c r="E4" s="10" t="s">
        <v>291</v>
      </c>
      <c r="F4" s="10" t="s">
        <v>292</v>
      </c>
      <c r="G4" s="10" t="s">
        <v>293</v>
      </c>
      <c r="H4" s="10" t="s">
        <v>294</v>
      </c>
      <c r="I4" s="10" t="s">
        <v>295</v>
      </c>
      <c r="J4" s="10" t="s">
        <v>296</v>
      </c>
      <c r="K4" s="10" t="s">
        <v>122</v>
      </c>
    </row>
    <row r="5" ht="219.75" customHeight="1">
      <c r="A5" s="12">
        <v>2.0</v>
      </c>
      <c r="B5" s="12" t="s">
        <v>211</v>
      </c>
      <c r="C5" s="12" t="s">
        <v>213</v>
      </c>
      <c r="D5" s="12" t="s">
        <v>297</v>
      </c>
      <c r="E5" s="12" t="s">
        <v>298</v>
      </c>
      <c r="F5" s="12" t="s">
        <v>299</v>
      </c>
      <c r="G5" s="12" t="s">
        <v>300</v>
      </c>
      <c r="H5" s="12" t="s">
        <v>301</v>
      </c>
      <c r="I5" s="12" t="s">
        <v>302</v>
      </c>
      <c r="J5" s="12" t="s">
        <v>303</v>
      </c>
      <c r="K5" s="12" t="s">
        <v>70</v>
      </c>
    </row>
    <row r="6" ht="219.75" customHeight="1">
      <c r="A6" s="10">
        <v>3.0</v>
      </c>
      <c r="B6" s="10" t="s">
        <v>222</v>
      </c>
      <c r="C6" s="10" t="s">
        <v>224</v>
      </c>
      <c r="D6" s="10" t="s">
        <v>304</v>
      </c>
      <c r="E6" s="10" t="s">
        <v>305</v>
      </c>
      <c r="F6" s="10" t="s">
        <v>306</v>
      </c>
      <c r="G6" s="10" t="s">
        <v>307</v>
      </c>
      <c r="H6" s="10" t="s">
        <v>308</v>
      </c>
      <c r="I6" s="10" t="s">
        <v>309</v>
      </c>
      <c r="J6" s="10" t="s">
        <v>310</v>
      </c>
      <c r="K6" s="10" t="s">
        <v>70</v>
      </c>
    </row>
    <row r="7" ht="219.75" customHeight="1">
      <c r="A7" s="12">
        <v>4.0</v>
      </c>
      <c r="B7" s="12" t="s">
        <v>230</v>
      </c>
      <c r="C7" s="12" t="s">
        <v>231</v>
      </c>
      <c r="D7" s="12" t="s">
        <v>311</v>
      </c>
      <c r="E7" s="12" t="s">
        <v>312</v>
      </c>
      <c r="F7" s="12" t="s">
        <v>313</v>
      </c>
      <c r="G7" s="12" t="s">
        <v>314</v>
      </c>
      <c r="H7" s="12" t="s">
        <v>315</v>
      </c>
      <c r="I7" s="12" t="s">
        <v>316</v>
      </c>
      <c r="J7" s="12" t="s">
        <v>317</v>
      </c>
      <c r="K7" s="12" t="s">
        <v>70</v>
      </c>
    </row>
    <row r="8" ht="219.75" customHeight="1">
      <c r="A8" s="10">
        <v>5.0</v>
      </c>
      <c r="B8" s="10" t="s">
        <v>236</v>
      </c>
      <c r="C8" s="10" t="s">
        <v>238</v>
      </c>
      <c r="D8" s="10" t="s">
        <v>318</v>
      </c>
      <c r="E8" s="10" t="s">
        <v>319</v>
      </c>
      <c r="F8" s="10" t="s">
        <v>320</v>
      </c>
      <c r="G8" s="10" t="s">
        <v>321</v>
      </c>
      <c r="H8" s="10" t="s">
        <v>322</v>
      </c>
      <c r="I8" s="10" t="s">
        <v>323</v>
      </c>
      <c r="J8" s="10" t="s">
        <v>310</v>
      </c>
      <c r="K8" s="10" t="s">
        <v>70</v>
      </c>
    </row>
    <row r="9" ht="219.75" customHeight="1">
      <c r="A9" s="12">
        <v>6.0</v>
      </c>
      <c r="B9" s="12" t="s">
        <v>242</v>
      </c>
      <c r="C9" s="12" t="s">
        <v>243</v>
      </c>
      <c r="D9" s="12" t="s">
        <v>324</v>
      </c>
      <c r="E9" s="12" t="s">
        <v>325</v>
      </c>
      <c r="F9" s="12" t="s">
        <v>326</v>
      </c>
      <c r="G9" s="12" t="s">
        <v>327</v>
      </c>
      <c r="H9" s="12" t="s">
        <v>328</v>
      </c>
      <c r="I9" s="12" t="s">
        <v>329</v>
      </c>
      <c r="J9" s="12" t="s">
        <v>330</v>
      </c>
      <c r="K9" s="12"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2.0"/>
    <col customWidth="1" min="3" max="3" width="26.0"/>
    <col customWidth="1" min="4" max="4" width="30.0"/>
    <col customWidth="1" min="5" max="5" width="26.0"/>
    <col customWidth="1" min="6" max="6" width="30.0"/>
    <col customWidth="1" min="7" max="7" width="60.0"/>
    <col customWidth="1" min="8" max="8" width="30.0"/>
    <col customWidth="1" min="9" max="9" width="70.0"/>
    <col customWidth="1" min="10" max="10" width="26.0"/>
    <col customWidth="1" min="11" max="11" width="40.0"/>
    <col customWidth="1" min="12" max="26" width="8.71"/>
  </cols>
  <sheetData>
    <row r="1" ht="30.0" customHeight="1">
      <c r="A1" s="3" t="s">
        <v>331</v>
      </c>
      <c r="B1" s="5"/>
      <c r="C1" s="5"/>
      <c r="D1" s="5"/>
      <c r="E1" s="5"/>
      <c r="F1" s="5"/>
      <c r="G1" s="5"/>
      <c r="H1" s="5"/>
      <c r="I1" s="5"/>
      <c r="J1" s="5"/>
      <c r="K1" s="7"/>
    </row>
    <row r="2" ht="19.5" customHeight="1">
      <c r="A2" s="2" t="s">
        <v>335</v>
      </c>
    </row>
    <row r="3" ht="33.75" customHeight="1">
      <c r="A3" s="8" t="s">
        <v>10</v>
      </c>
      <c r="B3" s="8" t="s">
        <v>15</v>
      </c>
      <c r="C3" s="8" t="s">
        <v>17</v>
      </c>
      <c r="D3" s="8" t="s">
        <v>25</v>
      </c>
      <c r="E3" s="8" t="s">
        <v>26</v>
      </c>
      <c r="F3" s="8" t="s">
        <v>28</v>
      </c>
      <c r="G3" s="8" t="s">
        <v>30</v>
      </c>
      <c r="H3" s="8" t="s">
        <v>33</v>
      </c>
      <c r="I3" s="8" t="s">
        <v>35</v>
      </c>
      <c r="J3" s="8" t="s">
        <v>38</v>
      </c>
      <c r="K3" s="8" t="s">
        <v>40</v>
      </c>
    </row>
    <row r="4" ht="219.75" customHeight="1">
      <c r="A4" s="10">
        <v>1.0</v>
      </c>
      <c r="B4" s="10" t="s">
        <v>248</v>
      </c>
      <c r="C4" s="10" t="s">
        <v>250</v>
      </c>
      <c r="D4" s="10" t="s">
        <v>347</v>
      </c>
      <c r="E4" s="10" t="s">
        <v>349</v>
      </c>
      <c r="F4" s="10" t="s">
        <v>351</v>
      </c>
      <c r="G4" s="10" t="s">
        <v>353</v>
      </c>
      <c r="H4" s="10" t="s">
        <v>354</v>
      </c>
      <c r="I4" s="10" t="s">
        <v>359</v>
      </c>
      <c r="J4" s="10" t="s">
        <v>361</v>
      </c>
      <c r="K4" s="10" t="s">
        <v>70</v>
      </c>
    </row>
    <row r="5" ht="219.75" customHeight="1">
      <c r="A5" s="12">
        <v>2.0</v>
      </c>
      <c r="B5" s="12" t="s">
        <v>255</v>
      </c>
      <c r="C5" s="12" t="s">
        <v>257</v>
      </c>
      <c r="D5" s="12" t="s">
        <v>371</v>
      </c>
      <c r="E5" s="12" t="s">
        <v>373</v>
      </c>
      <c r="F5" s="12" t="s">
        <v>374</v>
      </c>
      <c r="G5" s="12" t="s">
        <v>378</v>
      </c>
      <c r="H5" s="12" t="s">
        <v>379</v>
      </c>
      <c r="I5" s="12" t="s">
        <v>382</v>
      </c>
      <c r="J5" s="12" t="s">
        <v>407</v>
      </c>
      <c r="K5" s="12" t="s">
        <v>70</v>
      </c>
    </row>
    <row r="6" ht="219.75" customHeight="1">
      <c r="A6" s="10">
        <v>3.0</v>
      </c>
      <c r="B6" s="10" t="s">
        <v>260</v>
      </c>
      <c r="C6" s="10" t="s">
        <v>262</v>
      </c>
      <c r="D6" s="10" t="s">
        <v>421</v>
      </c>
      <c r="E6" s="10" t="s">
        <v>423</v>
      </c>
      <c r="F6" s="10" t="s">
        <v>427</v>
      </c>
      <c r="G6" s="10" t="s">
        <v>430</v>
      </c>
      <c r="H6" s="10" t="s">
        <v>379</v>
      </c>
      <c r="I6" s="10" t="s">
        <v>437</v>
      </c>
      <c r="J6" s="10" t="s">
        <v>439</v>
      </c>
      <c r="K6" s="10" t="s">
        <v>70</v>
      </c>
    </row>
    <row r="7" ht="219.75" customHeight="1">
      <c r="A7" s="12">
        <v>4.0</v>
      </c>
      <c r="B7" s="12" t="s">
        <v>268</v>
      </c>
      <c r="C7" s="12" t="s">
        <v>269</v>
      </c>
      <c r="D7" s="12" t="s">
        <v>446</v>
      </c>
      <c r="E7" s="12" t="s">
        <v>449</v>
      </c>
      <c r="F7" s="12" t="s">
        <v>453</v>
      </c>
      <c r="G7" s="12" t="s">
        <v>458</v>
      </c>
      <c r="H7" s="12" t="s">
        <v>379</v>
      </c>
      <c r="I7" s="12" t="s">
        <v>461</v>
      </c>
      <c r="J7" s="12" t="s">
        <v>463</v>
      </c>
      <c r="K7" s="12" t="s">
        <v>70</v>
      </c>
    </row>
    <row r="8" ht="219.75" customHeight="1">
      <c r="A8" s="10">
        <v>5.0</v>
      </c>
      <c r="B8" s="10" t="s">
        <v>274</v>
      </c>
      <c r="C8" s="10" t="s">
        <v>276</v>
      </c>
      <c r="D8" s="10" t="s">
        <v>472</v>
      </c>
      <c r="E8" s="10" t="s">
        <v>474</v>
      </c>
      <c r="F8" s="10" t="s">
        <v>478</v>
      </c>
      <c r="G8" s="10" t="s">
        <v>481</v>
      </c>
      <c r="H8" s="10" t="s">
        <v>379</v>
      </c>
      <c r="I8" s="10" t="s">
        <v>486</v>
      </c>
      <c r="J8" s="10" t="s">
        <v>487</v>
      </c>
      <c r="K8" s="10" t="s">
        <v>70</v>
      </c>
    </row>
    <row r="9" ht="219.75" customHeight="1">
      <c r="A9" s="12">
        <v>6.0</v>
      </c>
      <c r="B9" s="12" t="s">
        <v>280</v>
      </c>
      <c r="C9" s="12" t="s">
        <v>281</v>
      </c>
      <c r="D9" s="12" t="s">
        <v>491</v>
      </c>
      <c r="E9" s="12" t="s">
        <v>492</v>
      </c>
      <c r="F9" s="12" t="s">
        <v>494</v>
      </c>
      <c r="G9" s="12" t="s">
        <v>495</v>
      </c>
      <c r="H9" s="12" t="s">
        <v>379</v>
      </c>
      <c r="I9" s="12" t="s">
        <v>496</v>
      </c>
      <c r="J9" s="12" t="s">
        <v>498</v>
      </c>
      <c r="K9" s="12"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0.0"/>
    <col customWidth="1" min="2" max="3" width="12.0"/>
    <col customWidth="1" min="4" max="4" width="10.0"/>
    <col customWidth="1" min="5" max="5" width="12.0"/>
    <col customWidth="1" min="6" max="6" width="14.0"/>
    <col customWidth="1" min="7" max="7" width="60.0"/>
    <col customWidth="1" min="8" max="26" width="8.71"/>
  </cols>
  <sheetData>
    <row r="1" ht="30.0" customHeight="1">
      <c r="A1" s="3" t="s">
        <v>333</v>
      </c>
      <c r="B1" s="5"/>
      <c r="C1" s="5"/>
      <c r="D1" s="5"/>
      <c r="E1" s="5"/>
      <c r="F1" s="5"/>
      <c r="G1" s="7"/>
    </row>
    <row r="2" ht="19.5" customHeight="1">
      <c r="A2" s="2" t="s">
        <v>339</v>
      </c>
    </row>
    <row r="4">
      <c r="A4" s="17" t="s">
        <v>344</v>
      </c>
    </row>
    <row r="5" ht="31.5" customHeight="1">
      <c r="A5" s="8" t="s">
        <v>357</v>
      </c>
      <c r="B5" s="8" t="s">
        <v>363</v>
      </c>
      <c r="C5" s="8" t="s">
        <v>365</v>
      </c>
      <c r="D5" s="12"/>
      <c r="E5" s="12"/>
      <c r="F5" s="12"/>
      <c r="G5" s="12"/>
    </row>
    <row r="6">
      <c r="A6" s="16" t="s">
        <v>384</v>
      </c>
      <c r="B6" s="16" t="s">
        <v>386</v>
      </c>
      <c r="C6" s="16" t="s">
        <v>387</v>
      </c>
      <c r="D6" s="16"/>
      <c r="E6" s="16"/>
      <c r="F6" s="16"/>
      <c r="G6" s="16"/>
    </row>
    <row r="7">
      <c r="A7" s="16" t="s">
        <v>391</v>
      </c>
      <c r="B7" s="16" t="s">
        <v>393</v>
      </c>
      <c r="C7" s="16" t="s">
        <v>394</v>
      </c>
      <c r="D7" s="16"/>
      <c r="E7" s="16"/>
      <c r="F7" s="16"/>
      <c r="G7" s="16"/>
    </row>
    <row r="8">
      <c r="A8" s="16" t="s">
        <v>397</v>
      </c>
      <c r="B8" s="16" t="s">
        <v>399</v>
      </c>
      <c r="C8" s="16" t="s">
        <v>401</v>
      </c>
      <c r="D8" s="16"/>
      <c r="E8" s="16"/>
      <c r="F8" s="16"/>
      <c r="G8" s="16"/>
    </row>
    <row r="9">
      <c r="A9" s="16" t="s">
        <v>405</v>
      </c>
      <c r="B9" s="16" t="s">
        <v>409</v>
      </c>
      <c r="C9" s="16" t="s">
        <v>411</v>
      </c>
      <c r="D9" s="16"/>
      <c r="E9" s="16"/>
      <c r="F9" s="16"/>
      <c r="G9" s="16"/>
    </row>
    <row r="10">
      <c r="A10" s="16" t="s">
        <v>415</v>
      </c>
      <c r="B10" s="16" t="s">
        <v>416</v>
      </c>
      <c r="C10" s="16" t="s">
        <v>418</v>
      </c>
      <c r="D10" s="16"/>
      <c r="E10" s="16"/>
      <c r="F10" s="16"/>
      <c r="G10" s="16"/>
    </row>
    <row r="11">
      <c r="A11" s="16" t="s">
        <v>424</v>
      </c>
      <c r="B11" s="16" t="s">
        <v>426</v>
      </c>
      <c r="C11" s="16" t="s">
        <v>428</v>
      </c>
      <c r="D11" s="16"/>
      <c r="E11" s="16"/>
      <c r="F11" s="16"/>
      <c r="G11" s="16"/>
    </row>
    <row r="12">
      <c r="A12" s="16" t="s">
        <v>432</v>
      </c>
      <c r="B12" s="16" t="s">
        <v>434</v>
      </c>
      <c r="C12" s="16" t="s">
        <v>436</v>
      </c>
      <c r="D12" s="16"/>
      <c r="E12" s="16"/>
      <c r="F12" s="16"/>
      <c r="G12" s="16"/>
    </row>
    <row r="14">
      <c r="A14" s="17" t="s">
        <v>442</v>
      </c>
    </row>
    <row r="15" ht="31.5" customHeight="1">
      <c r="A15" s="8" t="s">
        <v>357</v>
      </c>
      <c r="B15" s="8" t="s">
        <v>445</v>
      </c>
      <c r="C15" s="8" t="s">
        <v>448</v>
      </c>
      <c r="D15" s="8" t="s">
        <v>450</v>
      </c>
      <c r="E15" s="8" t="s">
        <v>452</v>
      </c>
      <c r="F15" s="8" t="s">
        <v>455</v>
      </c>
      <c r="G15" s="8" t="s">
        <v>456</v>
      </c>
    </row>
    <row r="16">
      <c r="A16" s="16" t="s">
        <v>384</v>
      </c>
      <c r="B16" s="16" t="s">
        <v>459</v>
      </c>
      <c r="C16" s="16">
        <v>3.5</v>
      </c>
      <c r="D16" s="16">
        <v>2.375</v>
      </c>
      <c r="E16" s="16">
        <v>4.0</v>
      </c>
      <c r="F16" s="16" t="s">
        <v>459</v>
      </c>
      <c r="G16" s="16">
        <v>0.62</v>
      </c>
    </row>
    <row r="17">
      <c r="A17" s="16" t="s">
        <v>384</v>
      </c>
      <c r="B17" s="16" t="s">
        <v>467</v>
      </c>
      <c r="C17" s="16">
        <v>3.875</v>
      </c>
      <c r="D17" s="16">
        <v>2.75</v>
      </c>
      <c r="E17" s="16">
        <v>4.0</v>
      </c>
      <c r="F17" s="16" t="s">
        <v>459</v>
      </c>
      <c r="G17" s="16">
        <v>0.62</v>
      </c>
    </row>
    <row r="18">
      <c r="A18" s="16" t="s">
        <v>384</v>
      </c>
      <c r="B18" s="16" t="s">
        <v>475</v>
      </c>
      <c r="C18" s="16">
        <v>4.25</v>
      </c>
      <c r="D18" s="16">
        <v>3.125</v>
      </c>
      <c r="E18" s="16">
        <v>4.0</v>
      </c>
      <c r="F18" s="16" t="s">
        <v>459</v>
      </c>
      <c r="G18" s="16">
        <v>0.62</v>
      </c>
    </row>
    <row r="19">
      <c r="A19" s="16" t="s">
        <v>384</v>
      </c>
      <c r="B19" s="16" t="s">
        <v>482</v>
      </c>
      <c r="C19" s="16">
        <v>4.625</v>
      </c>
      <c r="D19" s="16">
        <v>3.5</v>
      </c>
      <c r="E19" s="16">
        <v>4.0</v>
      </c>
      <c r="F19" s="16" t="s">
        <v>459</v>
      </c>
      <c r="G19" s="16">
        <v>0.62</v>
      </c>
    </row>
    <row r="20">
      <c r="A20" s="16" t="s">
        <v>384</v>
      </c>
      <c r="B20" s="16" t="s">
        <v>488</v>
      </c>
      <c r="C20" s="16">
        <v>5.0</v>
      </c>
      <c r="D20" s="16">
        <v>3.875</v>
      </c>
      <c r="E20" s="16">
        <v>4.0</v>
      </c>
      <c r="F20" s="16" t="s">
        <v>459</v>
      </c>
      <c r="G20" s="16">
        <v>0.62</v>
      </c>
    </row>
    <row r="21" ht="15.75" customHeight="1">
      <c r="A21" s="16" t="s">
        <v>384</v>
      </c>
      <c r="B21" s="16" t="s">
        <v>489</v>
      </c>
      <c r="C21" s="16">
        <v>6.0</v>
      </c>
      <c r="D21" s="16">
        <v>4.75</v>
      </c>
      <c r="E21" s="16">
        <v>4.0</v>
      </c>
      <c r="F21" s="16" t="s">
        <v>490</v>
      </c>
      <c r="G21" s="16">
        <v>0.75</v>
      </c>
    </row>
    <row r="22" ht="15.75" customHeight="1">
      <c r="A22" s="16" t="s">
        <v>384</v>
      </c>
      <c r="B22" s="16" t="s">
        <v>493</v>
      </c>
      <c r="C22" s="16">
        <v>7.0</v>
      </c>
      <c r="D22" s="16">
        <v>5.5</v>
      </c>
      <c r="E22" s="16">
        <v>4.0</v>
      </c>
      <c r="F22" s="16" t="s">
        <v>490</v>
      </c>
      <c r="G22" s="16">
        <v>0.75</v>
      </c>
    </row>
    <row r="23" ht="15.75" customHeight="1">
      <c r="A23" s="16" t="s">
        <v>384</v>
      </c>
      <c r="B23" s="16" t="s">
        <v>497</v>
      </c>
      <c r="C23" s="16">
        <v>7.5</v>
      </c>
      <c r="D23" s="16">
        <v>6.0</v>
      </c>
      <c r="E23" s="16">
        <v>4.0</v>
      </c>
      <c r="F23" s="16" t="s">
        <v>490</v>
      </c>
      <c r="G23" s="16">
        <v>0.75</v>
      </c>
    </row>
    <row r="24" ht="15.75" customHeight="1">
      <c r="A24" s="16" t="s">
        <v>384</v>
      </c>
      <c r="B24" s="16" t="s">
        <v>499</v>
      </c>
      <c r="C24" s="16">
        <v>8.5</v>
      </c>
      <c r="D24" s="16">
        <v>7.0</v>
      </c>
      <c r="E24" s="16">
        <v>8.0</v>
      </c>
      <c r="F24" s="16" t="s">
        <v>490</v>
      </c>
      <c r="G24" s="16">
        <v>0.75</v>
      </c>
    </row>
    <row r="25" ht="15.75" customHeight="1">
      <c r="A25" s="16" t="s">
        <v>384</v>
      </c>
      <c r="B25" s="16" t="s">
        <v>500</v>
      </c>
      <c r="C25" s="16">
        <v>9.0</v>
      </c>
      <c r="D25" s="16">
        <v>7.5</v>
      </c>
      <c r="E25" s="16">
        <v>8.0</v>
      </c>
      <c r="F25" s="16" t="s">
        <v>490</v>
      </c>
      <c r="G25" s="16">
        <v>0.75</v>
      </c>
    </row>
    <row r="26" ht="15.75" customHeight="1">
      <c r="A26" s="16" t="s">
        <v>384</v>
      </c>
      <c r="B26" s="16" t="s">
        <v>501</v>
      </c>
      <c r="C26" s="16">
        <v>10.0</v>
      </c>
      <c r="D26" s="16">
        <v>8.5</v>
      </c>
      <c r="E26" s="16">
        <v>8.0</v>
      </c>
      <c r="F26" s="16" t="s">
        <v>467</v>
      </c>
      <c r="G26" s="16">
        <v>0.88</v>
      </c>
    </row>
    <row r="27" ht="15.75" customHeight="1">
      <c r="A27" s="16" t="s">
        <v>384</v>
      </c>
      <c r="B27" s="16" t="s">
        <v>502</v>
      </c>
      <c r="C27" s="16">
        <v>11.0</v>
      </c>
      <c r="D27" s="16">
        <v>9.5</v>
      </c>
      <c r="E27" s="16">
        <v>8.0</v>
      </c>
      <c r="F27" s="16" t="s">
        <v>467</v>
      </c>
      <c r="G27" s="16">
        <v>0.88</v>
      </c>
    </row>
    <row r="28" ht="15.75" customHeight="1">
      <c r="A28" s="16" t="s">
        <v>384</v>
      </c>
      <c r="B28" s="16" t="s">
        <v>503</v>
      </c>
      <c r="C28" s="16">
        <v>13.5</v>
      </c>
      <c r="D28" s="16">
        <v>11.75</v>
      </c>
      <c r="E28" s="16">
        <v>8.0</v>
      </c>
      <c r="F28" s="16" t="s">
        <v>467</v>
      </c>
      <c r="G28" s="16">
        <v>0.88</v>
      </c>
    </row>
    <row r="29" ht="15.75" customHeight="1">
      <c r="A29" s="16" t="s">
        <v>384</v>
      </c>
      <c r="B29" s="16" t="s">
        <v>504</v>
      </c>
      <c r="C29" s="16">
        <v>16.0</v>
      </c>
      <c r="D29" s="16">
        <v>14.25</v>
      </c>
      <c r="E29" s="16">
        <v>12.0</v>
      </c>
      <c r="F29" s="16" t="s">
        <v>505</v>
      </c>
      <c r="G29" s="16">
        <v>1.0</v>
      </c>
    </row>
    <row r="30" ht="15.75" customHeight="1">
      <c r="A30" s="16" t="s">
        <v>384</v>
      </c>
      <c r="B30" s="16" t="s">
        <v>506</v>
      </c>
      <c r="C30" s="16">
        <v>19.0</v>
      </c>
      <c r="D30" s="16">
        <v>17.0</v>
      </c>
      <c r="E30" s="16">
        <v>12.0</v>
      </c>
      <c r="F30" s="16" t="s">
        <v>505</v>
      </c>
      <c r="G30" s="16">
        <v>1.0</v>
      </c>
    </row>
    <row r="31" ht="15.75" customHeight="1">
      <c r="A31" s="16" t="s">
        <v>384</v>
      </c>
      <c r="B31" s="16" t="s">
        <v>507</v>
      </c>
      <c r="C31" s="16">
        <v>21.0</v>
      </c>
      <c r="D31" s="16">
        <v>18.75</v>
      </c>
      <c r="E31" s="16">
        <v>12.0</v>
      </c>
      <c r="F31" s="16" t="s">
        <v>475</v>
      </c>
      <c r="G31" s="16">
        <v>1.12</v>
      </c>
    </row>
    <row r="32" ht="15.75" customHeight="1">
      <c r="A32" s="16" t="s">
        <v>384</v>
      </c>
      <c r="B32" s="16" t="s">
        <v>508</v>
      </c>
      <c r="C32" s="16">
        <v>23.5</v>
      </c>
      <c r="D32" s="16">
        <v>21.25</v>
      </c>
      <c r="E32" s="16">
        <v>16.0</v>
      </c>
      <c r="F32" s="16" t="s">
        <v>475</v>
      </c>
      <c r="G32" s="16">
        <v>1.12</v>
      </c>
    </row>
    <row r="33" ht="15.75" customHeight="1">
      <c r="A33" s="16" t="s">
        <v>384</v>
      </c>
      <c r="B33" s="16" t="s">
        <v>509</v>
      </c>
      <c r="C33" s="16">
        <v>25.0</v>
      </c>
      <c r="D33" s="16">
        <v>22.75</v>
      </c>
      <c r="E33" s="16">
        <v>16.0</v>
      </c>
      <c r="F33" s="16" t="s">
        <v>510</v>
      </c>
      <c r="G33" s="16">
        <v>1.25</v>
      </c>
    </row>
    <row r="34" ht="15.75" customHeight="1">
      <c r="A34" s="16" t="s">
        <v>384</v>
      </c>
      <c r="B34" s="16" t="s">
        <v>511</v>
      </c>
      <c r="C34" s="16">
        <v>27.5</v>
      </c>
      <c r="D34" s="16">
        <v>25.0</v>
      </c>
      <c r="E34" s="16">
        <v>20.0</v>
      </c>
      <c r="F34" s="16" t="s">
        <v>510</v>
      </c>
      <c r="G34" s="16">
        <v>1.25</v>
      </c>
    </row>
    <row r="35" ht="15.75" customHeight="1">
      <c r="A35" s="16" t="s">
        <v>384</v>
      </c>
      <c r="B35" s="16" t="s">
        <v>512</v>
      </c>
      <c r="C35" s="16">
        <v>32.0</v>
      </c>
      <c r="D35" s="16">
        <v>29.5</v>
      </c>
      <c r="E35" s="16">
        <v>20.0</v>
      </c>
      <c r="F35" s="16" t="s">
        <v>482</v>
      </c>
      <c r="G35" s="16">
        <v>1.38</v>
      </c>
    </row>
    <row r="36" ht="15.75" customHeight="1">
      <c r="A36" s="16" t="s">
        <v>391</v>
      </c>
      <c r="B36" s="16" t="s">
        <v>459</v>
      </c>
      <c r="C36" s="16">
        <v>3.75</v>
      </c>
      <c r="D36" s="16">
        <v>2.625</v>
      </c>
      <c r="E36" s="16">
        <v>4.0</v>
      </c>
      <c r="F36" s="16" t="s">
        <v>459</v>
      </c>
      <c r="G36" s="16">
        <v>0.62</v>
      </c>
    </row>
    <row r="37" ht="15.75" customHeight="1">
      <c r="A37" s="16" t="s">
        <v>391</v>
      </c>
      <c r="B37" s="16" t="s">
        <v>467</v>
      </c>
      <c r="C37" s="16">
        <v>4.625</v>
      </c>
      <c r="D37" s="16">
        <v>3.25</v>
      </c>
      <c r="E37" s="16">
        <v>4.0</v>
      </c>
      <c r="F37" s="16" t="s">
        <v>490</v>
      </c>
      <c r="G37" s="16">
        <v>0.75</v>
      </c>
    </row>
    <row r="38" ht="15.75" customHeight="1">
      <c r="A38" s="16" t="s">
        <v>391</v>
      </c>
      <c r="B38" s="16" t="s">
        <v>475</v>
      </c>
      <c r="C38" s="16">
        <v>4.875</v>
      </c>
      <c r="D38" s="16">
        <v>3.5</v>
      </c>
      <c r="E38" s="16">
        <v>4.0</v>
      </c>
      <c r="F38" s="16" t="s">
        <v>490</v>
      </c>
      <c r="G38" s="16">
        <v>0.75</v>
      </c>
    </row>
    <row r="39" ht="15.75" customHeight="1">
      <c r="A39" s="16" t="s">
        <v>391</v>
      </c>
      <c r="B39" s="16" t="s">
        <v>482</v>
      </c>
      <c r="C39" s="16">
        <v>5.25</v>
      </c>
      <c r="D39" s="16">
        <v>3.875</v>
      </c>
      <c r="E39" s="16">
        <v>4.0</v>
      </c>
      <c r="F39" s="16" t="s">
        <v>490</v>
      </c>
      <c r="G39" s="16">
        <v>0.75</v>
      </c>
    </row>
    <row r="40" ht="15.75" customHeight="1">
      <c r="A40" s="16" t="s">
        <v>391</v>
      </c>
      <c r="B40" s="16" t="s">
        <v>488</v>
      </c>
      <c r="C40" s="16">
        <v>6.125</v>
      </c>
      <c r="D40" s="16">
        <v>4.5</v>
      </c>
      <c r="E40" s="16">
        <v>4.0</v>
      </c>
      <c r="F40" s="16" t="s">
        <v>467</v>
      </c>
      <c r="G40" s="16">
        <v>0.88</v>
      </c>
    </row>
    <row r="41" ht="15.75" customHeight="1">
      <c r="A41" s="16" t="s">
        <v>391</v>
      </c>
      <c r="B41" s="16" t="s">
        <v>489</v>
      </c>
      <c r="C41" s="16">
        <v>6.5</v>
      </c>
      <c r="D41" s="16">
        <v>5.0</v>
      </c>
      <c r="E41" s="16">
        <v>8.0</v>
      </c>
      <c r="F41" s="16" t="s">
        <v>490</v>
      </c>
      <c r="G41" s="16">
        <v>0.75</v>
      </c>
    </row>
    <row r="42" ht="15.75" customHeight="1">
      <c r="A42" s="16" t="s">
        <v>391</v>
      </c>
      <c r="B42" s="16" t="s">
        <v>493</v>
      </c>
      <c r="C42" s="16">
        <v>7.5</v>
      </c>
      <c r="D42" s="16">
        <v>5.875</v>
      </c>
      <c r="E42" s="16">
        <v>8.0</v>
      </c>
      <c r="F42" s="16" t="s">
        <v>467</v>
      </c>
      <c r="G42" s="16">
        <v>0.88</v>
      </c>
    </row>
    <row r="43" ht="15.75" customHeight="1">
      <c r="A43" s="16" t="s">
        <v>391</v>
      </c>
      <c r="B43" s="16" t="s">
        <v>497</v>
      </c>
      <c r="C43" s="16">
        <v>8.25</v>
      </c>
      <c r="D43" s="16">
        <v>6.625</v>
      </c>
      <c r="E43" s="16">
        <v>8.0</v>
      </c>
      <c r="F43" s="16" t="s">
        <v>467</v>
      </c>
      <c r="G43" s="16">
        <v>0.88</v>
      </c>
    </row>
    <row r="44" ht="15.75" customHeight="1">
      <c r="A44" s="16" t="s">
        <v>391</v>
      </c>
      <c r="B44" s="16" t="s">
        <v>499</v>
      </c>
      <c r="C44" s="16">
        <v>9.0</v>
      </c>
      <c r="D44" s="16">
        <v>7.25</v>
      </c>
      <c r="E44" s="16">
        <v>8.0</v>
      </c>
      <c r="F44" s="16" t="s">
        <v>467</v>
      </c>
      <c r="G44" s="16">
        <v>0.88</v>
      </c>
    </row>
    <row r="45" ht="15.75" customHeight="1">
      <c r="A45" s="16" t="s">
        <v>391</v>
      </c>
      <c r="B45" s="16" t="s">
        <v>500</v>
      </c>
      <c r="C45" s="16">
        <v>10.0</v>
      </c>
      <c r="D45" s="16">
        <v>7.875</v>
      </c>
      <c r="E45" s="16">
        <v>8.0</v>
      </c>
      <c r="F45" s="16" t="s">
        <v>467</v>
      </c>
      <c r="G45" s="16">
        <v>0.88</v>
      </c>
    </row>
    <row r="46" ht="15.75" customHeight="1">
      <c r="A46" s="16" t="s">
        <v>391</v>
      </c>
      <c r="B46" s="16" t="s">
        <v>501</v>
      </c>
      <c r="C46" s="16">
        <v>11.0</v>
      </c>
      <c r="D46" s="16">
        <v>9.25</v>
      </c>
      <c r="E46" s="16">
        <v>8.0</v>
      </c>
      <c r="F46" s="16" t="s">
        <v>467</v>
      </c>
      <c r="G46" s="16">
        <v>0.88</v>
      </c>
    </row>
    <row r="47" ht="15.75" customHeight="1">
      <c r="A47" s="16" t="s">
        <v>391</v>
      </c>
      <c r="B47" s="16" t="s">
        <v>502</v>
      </c>
      <c r="C47" s="16">
        <v>12.5</v>
      </c>
      <c r="D47" s="16">
        <v>10.625</v>
      </c>
      <c r="E47" s="16">
        <v>12.0</v>
      </c>
      <c r="F47" s="16" t="s">
        <v>467</v>
      </c>
      <c r="G47" s="16">
        <v>0.88</v>
      </c>
    </row>
    <row r="48" ht="15.75" customHeight="1">
      <c r="A48" s="16" t="s">
        <v>391</v>
      </c>
      <c r="B48" s="16" t="s">
        <v>503</v>
      </c>
      <c r="C48" s="16">
        <v>15.0</v>
      </c>
      <c r="D48" s="16">
        <v>13.0</v>
      </c>
      <c r="E48" s="16">
        <v>12.0</v>
      </c>
      <c r="F48" s="16" t="s">
        <v>505</v>
      </c>
      <c r="G48" s="16">
        <v>1.0</v>
      </c>
    </row>
    <row r="49" ht="15.75" customHeight="1">
      <c r="A49" s="16" t="s">
        <v>391</v>
      </c>
      <c r="B49" s="16" t="s">
        <v>504</v>
      </c>
      <c r="C49" s="16">
        <v>17.5</v>
      </c>
      <c r="D49" s="16">
        <v>15.25</v>
      </c>
      <c r="E49" s="16">
        <v>16.0</v>
      </c>
      <c r="F49" s="16" t="s">
        <v>475</v>
      </c>
      <c r="G49" s="16">
        <v>1.12</v>
      </c>
    </row>
    <row r="50" ht="15.75" customHeight="1">
      <c r="A50" s="16" t="s">
        <v>391</v>
      </c>
      <c r="B50" s="16" t="s">
        <v>506</v>
      </c>
      <c r="C50" s="16">
        <v>20.5</v>
      </c>
      <c r="D50" s="16">
        <v>17.75</v>
      </c>
      <c r="E50" s="16">
        <v>16.0</v>
      </c>
      <c r="F50" s="16" t="s">
        <v>510</v>
      </c>
      <c r="G50" s="16">
        <v>1.25</v>
      </c>
    </row>
    <row r="51" ht="15.75" customHeight="1">
      <c r="A51" s="16" t="s">
        <v>391</v>
      </c>
      <c r="B51" s="16" t="s">
        <v>507</v>
      </c>
      <c r="C51" s="16">
        <v>23.0</v>
      </c>
      <c r="D51" s="16">
        <v>20.25</v>
      </c>
      <c r="E51" s="16">
        <v>20.0</v>
      </c>
      <c r="F51" s="16" t="s">
        <v>510</v>
      </c>
      <c r="G51" s="16">
        <v>1.25</v>
      </c>
    </row>
    <row r="52" ht="15.75" customHeight="1">
      <c r="A52" s="16" t="s">
        <v>391</v>
      </c>
      <c r="B52" s="16" t="s">
        <v>508</v>
      </c>
      <c r="C52" s="16">
        <v>25.5</v>
      </c>
      <c r="D52" s="16">
        <v>22.5</v>
      </c>
      <c r="E52" s="16">
        <v>20.0</v>
      </c>
      <c r="F52" s="16" t="s">
        <v>482</v>
      </c>
      <c r="G52" s="16">
        <v>1.38</v>
      </c>
    </row>
    <row r="53" ht="15.75" customHeight="1">
      <c r="A53" s="16" t="s">
        <v>391</v>
      </c>
      <c r="B53" s="16" t="s">
        <v>509</v>
      </c>
      <c r="C53" s="16">
        <v>28.0</v>
      </c>
      <c r="D53" s="16">
        <v>24.75</v>
      </c>
      <c r="E53" s="16">
        <v>24.0</v>
      </c>
      <c r="F53" s="16" t="s">
        <v>482</v>
      </c>
      <c r="G53" s="16">
        <v>1.38</v>
      </c>
    </row>
    <row r="54" ht="15.75" customHeight="1">
      <c r="A54" s="16" t="s">
        <v>391</v>
      </c>
      <c r="B54" s="16" t="s">
        <v>511</v>
      </c>
      <c r="C54" s="16">
        <v>30.5</v>
      </c>
      <c r="D54" s="16">
        <v>27.0</v>
      </c>
      <c r="E54" s="16">
        <v>24.0</v>
      </c>
      <c r="F54" s="16" t="s">
        <v>482</v>
      </c>
      <c r="G54" s="16">
        <v>1.38</v>
      </c>
    </row>
    <row r="55" ht="15.75" customHeight="1">
      <c r="A55" s="16" t="s">
        <v>391</v>
      </c>
      <c r="B55" s="16" t="s">
        <v>512</v>
      </c>
      <c r="C55" s="16">
        <v>36.0</v>
      </c>
      <c r="D55" s="16">
        <v>32.0</v>
      </c>
      <c r="E55" s="16">
        <v>24.0</v>
      </c>
      <c r="F55" s="16" t="s">
        <v>488</v>
      </c>
      <c r="G55" s="16">
        <v>1.62</v>
      </c>
    </row>
    <row r="56" ht="15.75" customHeight="1">
      <c r="A56" s="16" t="s">
        <v>397</v>
      </c>
      <c r="B56" s="16" t="s">
        <v>459</v>
      </c>
      <c r="C56" s="16">
        <v>3.75</v>
      </c>
      <c r="D56" s="16">
        <v>2.625</v>
      </c>
      <c r="E56" s="16">
        <v>4.0</v>
      </c>
      <c r="F56" s="16" t="s">
        <v>459</v>
      </c>
      <c r="G56" s="16">
        <v>0.62</v>
      </c>
    </row>
    <row r="57" ht="15.75" customHeight="1">
      <c r="A57" s="16" t="s">
        <v>397</v>
      </c>
      <c r="B57" s="16" t="s">
        <v>467</v>
      </c>
      <c r="C57" s="16">
        <v>4.625</v>
      </c>
      <c r="D57" s="16">
        <v>3.25</v>
      </c>
      <c r="E57" s="16">
        <v>4.0</v>
      </c>
      <c r="F57" s="16" t="s">
        <v>490</v>
      </c>
      <c r="G57" s="16">
        <v>0.75</v>
      </c>
    </row>
    <row r="58" ht="15.75" customHeight="1">
      <c r="A58" s="16" t="s">
        <v>397</v>
      </c>
      <c r="B58" s="16" t="s">
        <v>475</v>
      </c>
      <c r="C58" s="16">
        <v>4.875</v>
      </c>
      <c r="D58" s="16">
        <v>3.5</v>
      </c>
      <c r="E58" s="16">
        <v>4.0</v>
      </c>
      <c r="F58" s="16" t="s">
        <v>490</v>
      </c>
      <c r="G58" s="16">
        <v>0.75</v>
      </c>
    </row>
    <row r="59" ht="15.75" customHeight="1">
      <c r="A59" s="16" t="s">
        <v>397</v>
      </c>
      <c r="B59" s="16" t="s">
        <v>482</v>
      </c>
      <c r="C59" s="16">
        <v>5.25</v>
      </c>
      <c r="D59" s="16">
        <v>3.875</v>
      </c>
      <c r="E59" s="16">
        <v>4.0</v>
      </c>
      <c r="F59" s="16" t="s">
        <v>490</v>
      </c>
      <c r="G59" s="16">
        <v>0.75</v>
      </c>
    </row>
    <row r="60" ht="15.75" customHeight="1">
      <c r="A60" s="16" t="s">
        <v>397</v>
      </c>
      <c r="B60" s="16" t="s">
        <v>488</v>
      </c>
      <c r="C60" s="16">
        <v>6.125</v>
      </c>
      <c r="D60" s="16">
        <v>4.5</v>
      </c>
      <c r="E60" s="16">
        <v>4.0</v>
      </c>
      <c r="F60" s="16" t="s">
        <v>467</v>
      </c>
      <c r="G60" s="16">
        <v>0.88</v>
      </c>
    </row>
    <row r="61" ht="15.75" customHeight="1">
      <c r="A61" s="16" t="s">
        <v>397</v>
      </c>
      <c r="B61" s="16" t="s">
        <v>489</v>
      </c>
      <c r="C61" s="16">
        <v>6.5</v>
      </c>
      <c r="D61" s="16">
        <v>5.0</v>
      </c>
      <c r="E61" s="16">
        <v>8.0</v>
      </c>
      <c r="F61" s="16" t="s">
        <v>490</v>
      </c>
      <c r="G61" s="16">
        <v>0.75</v>
      </c>
    </row>
    <row r="62" ht="15.75" customHeight="1">
      <c r="A62" s="16" t="s">
        <v>397</v>
      </c>
      <c r="B62" s="16" t="s">
        <v>493</v>
      </c>
      <c r="C62" s="16">
        <v>7.5</v>
      </c>
      <c r="D62" s="16">
        <v>5.875</v>
      </c>
      <c r="E62" s="16">
        <v>8.0</v>
      </c>
      <c r="F62" s="16" t="s">
        <v>467</v>
      </c>
      <c r="G62" s="16">
        <v>0.88</v>
      </c>
    </row>
    <row r="63" ht="15.75" customHeight="1">
      <c r="A63" s="16" t="s">
        <v>397</v>
      </c>
      <c r="B63" s="16" t="s">
        <v>497</v>
      </c>
      <c r="C63" s="16">
        <v>8.25</v>
      </c>
      <c r="D63" s="16">
        <v>6.625</v>
      </c>
      <c r="E63" s="16">
        <v>8.0</v>
      </c>
      <c r="F63" s="16" t="s">
        <v>467</v>
      </c>
      <c r="G63" s="16">
        <v>0.88</v>
      </c>
    </row>
    <row r="64" ht="15.75" customHeight="1">
      <c r="A64" s="16" t="s">
        <v>397</v>
      </c>
      <c r="B64" s="16" t="s">
        <v>499</v>
      </c>
      <c r="C64" s="16">
        <v>9.0</v>
      </c>
      <c r="D64" s="16">
        <v>7.25</v>
      </c>
      <c r="E64" s="16">
        <v>8.0</v>
      </c>
      <c r="F64" s="16" t="s">
        <v>505</v>
      </c>
      <c r="G64" s="16">
        <v>1.0</v>
      </c>
    </row>
    <row r="65" ht="15.75" customHeight="1">
      <c r="A65" s="16" t="s">
        <v>397</v>
      </c>
      <c r="B65" s="16" t="s">
        <v>500</v>
      </c>
      <c r="C65" s="16">
        <v>10.0</v>
      </c>
      <c r="D65" s="16">
        <v>7.875</v>
      </c>
      <c r="E65" s="16">
        <v>8.0</v>
      </c>
      <c r="F65" s="16" t="s">
        <v>505</v>
      </c>
      <c r="G65" s="16">
        <v>1.0</v>
      </c>
    </row>
    <row r="66" ht="15.75" customHeight="1">
      <c r="A66" s="16" t="s">
        <v>397</v>
      </c>
      <c r="B66" s="16" t="s">
        <v>501</v>
      </c>
      <c r="C66" s="16">
        <v>11.0</v>
      </c>
      <c r="D66" s="16">
        <v>9.25</v>
      </c>
      <c r="E66" s="16">
        <v>8.0</v>
      </c>
      <c r="F66" s="16" t="s">
        <v>505</v>
      </c>
      <c r="G66" s="16">
        <v>1.0</v>
      </c>
    </row>
    <row r="67" ht="15.75" customHeight="1">
      <c r="A67" s="16" t="s">
        <v>397</v>
      </c>
      <c r="B67" s="16" t="s">
        <v>502</v>
      </c>
      <c r="C67" s="16">
        <v>12.5</v>
      </c>
      <c r="D67" s="16">
        <v>10.625</v>
      </c>
      <c r="E67" s="16">
        <v>12.0</v>
      </c>
      <c r="F67" s="16" t="s">
        <v>505</v>
      </c>
      <c r="G67" s="16">
        <v>1.0</v>
      </c>
    </row>
    <row r="68" ht="15.75" customHeight="1">
      <c r="A68" s="16" t="s">
        <v>397</v>
      </c>
      <c r="B68" s="16" t="s">
        <v>503</v>
      </c>
      <c r="C68" s="16">
        <v>15.0</v>
      </c>
      <c r="D68" s="16">
        <v>13.0</v>
      </c>
      <c r="E68" s="16">
        <v>12.0</v>
      </c>
      <c r="F68" s="16" t="s">
        <v>475</v>
      </c>
      <c r="G68" s="16">
        <v>1.12</v>
      </c>
    </row>
    <row r="69" ht="15.75" customHeight="1">
      <c r="A69" s="16" t="s">
        <v>397</v>
      </c>
      <c r="B69" s="16" t="s">
        <v>504</v>
      </c>
      <c r="C69" s="16">
        <v>17.5</v>
      </c>
      <c r="D69" s="16">
        <v>15.25</v>
      </c>
      <c r="E69" s="16">
        <v>16.0</v>
      </c>
      <c r="F69" s="16" t="s">
        <v>510</v>
      </c>
      <c r="G69" s="16">
        <v>1.25</v>
      </c>
    </row>
    <row r="70" ht="15.75" customHeight="1">
      <c r="A70" s="16" t="s">
        <v>397</v>
      </c>
      <c r="B70" s="16" t="s">
        <v>506</v>
      </c>
      <c r="C70" s="16">
        <v>20.5</v>
      </c>
      <c r="D70" s="16">
        <v>17.75</v>
      </c>
      <c r="E70" s="16">
        <v>16.0</v>
      </c>
      <c r="F70" s="16" t="s">
        <v>482</v>
      </c>
      <c r="G70" s="16">
        <v>1.38</v>
      </c>
    </row>
    <row r="71" ht="15.75" customHeight="1">
      <c r="A71" s="16" t="s">
        <v>397</v>
      </c>
      <c r="B71" s="16" t="s">
        <v>507</v>
      </c>
      <c r="C71" s="16">
        <v>23.0</v>
      </c>
      <c r="D71" s="16">
        <v>20.25</v>
      </c>
      <c r="E71" s="16">
        <v>20.0</v>
      </c>
      <c r="F71" s="16" t="s">
        <v>482</v>
      </c>
      <c r="G71" s="16">
        <v>1.38</v>
      </c>
    </row>
    <row r="72" ht="15.75" customHeight="1">
      <c r="A72" s="16" t="s">
        <v>397</v>
      </c>
      <c r="B72" s="16" t="s">
        <v>508</v>
      </c>
      <c r="C72" s="16">
        <v>25.5</v>
      </c>
      <c r="D72" s="16">
        <v>22.5</v>
      </c>
      <c r="E72" s="16">
        <v>20.0</v>
      </c>
      <c r="F72" s="16" t="s">
        <v>530</v>
      </c>
      <c r="G72" s="16">
        <v>1.5</v>
      </c>
    </row>
    <row r="73" ht="15.75" customHeight="1">
      <c r="A73" s="16" t="s">
        <v>397</v>
      </c>
      <c r="B73" s="16" t="s">
        <v>509</v>
      </c>
      <c r="C73" s="16">
        <v>28.0</v>
      </c>
      <c r="D73" s="16">
        <v>24.75</v>
      </c>
      <c r="E73" s="16">
        <v>24.0</v>
      </c>
      <c r="F73" s="16" t="s">
        <v>530</v>
      </c>
      <c r="G73" s="16">
        <v>1.5</v>
      </c>
    </row>
    <row r="74" ht="15.75" customHeight="1">
      <c r="A74" s="16" t="s">
        <v>397</v>
      </c>
      <c r="B74" s="16" t="s">
        <v>511</v>
      </c>
      <c r="C74" s="16">
        <v>30.5</v>
      </c>
      <c r="D74" s="16">
        <v>27.0</v>
      </c>
      <c r="E74" s="16">
        <v>24.0</v>
      </c>
      <c r="F74" s="16" t="s">
        <v>488</v>
      </c>
      <c r="G74" s="16">
        <v>1.62</v>
      </c>
    </row>
    <row r="75" ht="15.75" customHeight="1">
      <c r="A75" s="16" t="s">
        <v>397</v>
      </c>
      <c r="B75" s="16" t="s">
        <v>512</v>
      </c>
      <c r="C75" s="16">
        <v>36.0</v>
      </c>
      <c r="D75" s="16">
        <v>32.0</v>
      </c>
      <c r="E75" s="16">
        <v>24.0</v>
      </c>
      <c r="F75" s="16" t="s">
        <v>531</v>
      </c>
      <c r="G75" s="16">
        <v>1.88</v>
      </c>
    </row>
    <row r="76" ht="15.75" customHeight="1">
      <c r="A76" s="16" t="s">
        <v>405</v>
      </c>
      <c r="B76" s="16" t="s">
        <v>459</v>
      </c>
      <c r="C76" s="16">
        <v>3.75</v>
      </c>
      <c r="D76" s="16">
        <v>2.625</v>
      </c>
      <c r="E76" s="16">
        <v>4.0</v>
      </c>
      <c r="F76" s="16" t="s">
        <v>459</v>
      </c>
      <c r="G76" s="16">
        <v>0.62</v>
      </c>
    </row>
    <row r="77" ht="15.75" customHeight="1">
      <c r="A77" s="16" t="s">
        <v>405</v>
      </c>
      <c r="B77" s="16" t="s">
        <v>467</v>
      </c>
      <c r="C77" s="16">
        <v>4.625</v>
      </c>
      <c r="D77" s="16">
        <v>3.25</v>
      </c>
      <c r="E77" s="16">
        <v>4.0</v>
      </c>
      <c r="F77" s="16" t="s">
        <v>490</v>
      </c>
      <c r="G77" s="16">
        <v>0.75</v>
      </c>
    </row>
    <row r="78" ht="15.75" customHeight="1">
      <c r="A78" s="16" t="s">
        <v>405</v>
      </c>
      <c r="B78" s="16" t="s">
        <v>475</v>
      </c>
      <c r="C78" s="16">
        <v>4.875</v>
      </c>
      <c r="D78" s="16">
        <v>3.5</v>
      </c>
      <c r="E78" s="16">
        <v>4.0</v>
      </c>
      <c r="F78" s="16" t="s">
        <v>490</v>
      </c>
      <c r="G78" s="16">
        <v>0.75</v>
      </c>
    </row>
    <row r="79" ht="15.75" customHeight="1">
      <c r="A79" s="16" t="s">
        <v>405</v>
      </c>
      <c r="B79" s="16" t="s">
        <v>482</v>
      </c>
      <c r="C79" s="16">
        <v>5.25</v>
      </c>
      <c r="D79" s="16">
        <v>3.875</v>
      </c>
      <c r="E79" s="16">
        <v>4.0</v>
      </c>
      <c r="F79" s="16" t="s">
        <v>490</v>
      </c>
      <c r="G79" s="16">
        <v>0.75</v>
      </c>
    </row>
    <row r="80" ht="15.75" customHeight="1">
      <c r="A80" s="16" t="s">
        <v>405</v>
      </c>
      <c r="B80" s="16" t="s">
        <v>488</v>
      </c>
      <c r="C80" s="16">
        <v>6.125</v>
      </c>
      <c r="D80" s="16">
        <v>4.5</v>
      </c>
      <c r="E80" s="16">
        <v>4.0</v>
      </c>
      <c r="F80" s="16" t="s">
        <v>467</v>
      </c>
      <c r="G80" s="16">
        <v>0.88</v>
      </c>
    </row>
    <row r="81" ht="15.75" customHeight="1">
      <c r="A81" s="16" t="s">
        <v>405</v>
      </c>
      <c r="B81" s="16" t="s">
        <v>489</v>
      </c>
      <c r="C81" s="16">
        <v>6.5</v>
      </c>
      <c r="D81" s="16">
        <v>5.0</v>
      </c>
      <c r="E81" s="16">
        <v>8.0</v>
      </c>
      <c r="F81" s="16" t="s">
        <v>490</v>
      </c>
      <c r="G81" s="16">
        <v>0.75</v>
      </c>
    </row>
    <row r="82" ht="15.75" customHeight="1">
      <c r="A82" s="16" t="s">
        <v>405</v>
      </c>
      <c r="B82" s="16" t="s">
        <v>493</v>
      </c>
      <c r="C82" s="16">
        <v>7.5</v>
      </c>
      <c r="D82" s="16">
        <v>5.875</v>
      </c>
      <c r="E82" s="16">
        <v>8.0</v>
      </c>
      <c r="F82" s="16" t="s">
        <v>467</v>
      </c>
      <c r="G82" s="16">
        <v>0.88</v>
      </c>
    </row>
    <row r="83" ht="15.75" customHeight="1">
      <c r="A83" s="16" t="s">
        <v>405</v>
      </c>
      <c r="B83" s="16" t="s">
        <v>497</v>
      </c>
      <c r="C83" s="16">
        <v>8.25</v>
      </c>
      <c r="D83" s="16">
        <v>6.625</v>
      </c>
      <c r="E83" s="16">
        <v>8.0</v>
      </c>
      <c r="F83" s="16" t="s">
        <v>467</v>
      </c>
      <c r="G83" s="16">
        <v>0.88</v>
      </c>
    </row>
    <row r="84" ht="15.75" customHeight="1">
      <c r="A84" s="16" t="s">
        <v>405</v>
      </c>
      <c r="B84" s="16" t="s">
        <v>499</v>
      </c>
      <c r="C84" s="16">
        <v>9.0</v>
      </c>
      <c r="D84" s="16">
        <v>7.25</v>
      </c>
      <c r="E84" s="16">
        <v>8.0</v>
      </c>
      <c r="F84" s="16" t="s">
        <v>505</v>
      </c>
      <c r="G84" s="16">
        <v>1.0</v>
      </c>
    </row>
    <row r="85" ht="15.75" customHeight="1">
      <c r="A85" s="16" t="s">
        <v>405</v>
      </c>
      <c r="B85" s="16" t="s">
        <v>500</v>
      </c>
      <c r="C85" s="16">
        <v>10.75</v>
      </c>
      <c r="D85" s="16">
        <v>8.5</v>
      </c>
      <c r="E85" s="16">
        <v>8.0</v>
      </c>
      <c r="F85" s="16" t="s">
        <v>505</v>
      </c>
      <c r="G85" s="16">
        <v>1.0</v>
      </c>
    </row>
    <row r="86" ht="15.75" customHeight="1">
      <c r="A86" s="16" t="s">
        <v>405</v>
      </c>
      <c r="B86" s="16" t="s">
        <v>501</v>
      </c>
      <c r="C86" s="16">
        <v>13.0</v>
      </c>
      <c r="D86" s="16">
        <v>10.5</v>
      </c>
      <c r="E86" s="16">
        <v>8.0</v>
      </c>
      <c r="F86" s="16" t="s">
        <v>475</v>
      </c>
      <c r="G86" s="16">
        <v>1.12</v>
      </c>
    </row>
    <row r="87" ht="15.75" customHeight="1">
      <c r="A87" s="16" t="s">
        <v>405</v>
      </c>
      <c r="B87" s="16" t="s">
        <v>502</v>
      </c>
      <c r="C87" s="16">
        <v>14.0</v>
      </c>
      <c r="D87" s="16">
        <v>11.5</v>
      </c>
      <c r="E87" s="16">
        <v>12.0</v>
      </c>
      <c r="F87" s="16" t="s">
        <v>475</v>
      </c>
      <c r="G87" s="16">
        <v>1.12</v>
      </c>
    </row>
    <row r="88" ht="15.75" customHeight="1">
      <c r="A88" s="16" t="s">
        <v>405</v>
      </c>
      <c r="B88" s="16" t="s">
        <v>503</v>
      </c>
      <c r="C88" s="16">
        <v>16.5</v>
      </c>
      <c r="D88" s="16">
        <v>13.75</v>
      </c>
      <c r="E88" s="16">
        <v>12.0</v>
      </c>
      <c r="F88" s="16" t="s">
        <v>510</v>
      </c>
      <c r="G88" s="16">
        <v>1.25</v>
      </c>
    </row>
    <row r="89" ht="15.75" customHeight="1">
      <c r="A89" s="16" t="s">
        <v>405</v>
      </c>
      <c r="B89" s="16" t="s">
        <v>504</v>
      </c>
      <c r="C89" s="16">
        <v>20.0</v>
      </c>
      <c r="D89" s="16">
        <v>17.0</v>
      </c>
      <c r="E89" s="16">
        <v>16.0</v>
      </c>
      <c r="F89" s="16" t="s">
        <v>482</v>
      </c>
      <c r="G89" s="16">
        <v>1.38</v>
      </c>
    </row>
    <row r="90" ht="15.75" customHeight="1">
      <c r="A90" s="16" t="s">
        <v>405</v>
      </c>
      <c r="B90" s="16" t="s">
        <v>506</v>
      </c>
      <c r="C90" s="16">
        <v>22.0</v>
      </c>
      <c r="D90" s="16">
        <v>19.25</v>
      </c>
      <c r="E90" s="16">
        <v>20.0</v>
      </c>
      <c r="F90" s="16" t="s">
        <v>482</v>
      </c>
      <c r="G90" s="16">
        <v>1.38</v>
      </c>
    </row>
    <row r="91" ht="15.75" customHeight="1">
      <c r="A91" s="16" t="s">
        <v>405</v>
      </c>
      <c r="B91" s="16" t="s">
        <v>507</v>
      </c>
      <c r="C91" s="16">
        <v>23.75</v>
      </c>
      <c r="D91" s="16">
        <v>20.75</v>
      </c>
      <c r="E91" s="16">
        <v>20.0</v>
      </c>
      <c r="F91" s="16" t="s">
        <v>530</v>
      </c>
      <c r="G91" s="16">
        <v>1.5</v>
      </c>
    </row>
    <row r="92" ht="15.75" customHeight="1">
      <c r="A92" s="16" t="s">
        <v>405</v>
      </c>
      <c r="B92" s="16" t="s">
        <v>508</v>
      </c>
      <c r="C92" s="16">
        <v>27.0</v>
      </c>
      <c r="D92" s="16">
        <v>23.75</v>
      </c>
      <c r="E92" s="16">
        <v>20.0</v>
      </c>
      <c r="F92" s="16" t="s">
        <v>488</v>
      </c>
      <c r="G92" s="16">
        <v>1.62</v>
      </c>
    </row>
    <row r="93" ht="15.75" customHeight="1">
      <c r="A93" s="16" t="s">
        <v>405</v>
      </c>
      <c r="B93" s="16" t="s">
        <v>509</v>
      </c>
      <c r="C93" s="16">
        <v>29.25</v>
      </c>
      <c r="D93" s="16">
        <v>25.75</v>
      </c>
      <c r="E93" s="16">
        <v>20.0</v>
      </c>
      <c r="F93" s="16" t="s">
        <v>539</v>
      </c>
      <c r="G93" s="16">
        <v>1.75</v>
      </c>
    </row>
    <row r="94" ht="15.75" customHeight="1">
      <c r="A94" s="16" t="s">
        <v>405</v>
      </c>
      <c r="B94" s="16" t="s">
        <v>511</v>
      </c>
      <c r="C94" s="16">
        <v>32.0</v>
      </c>
      <c r="D94" s="16">
        <v>28.5</v>
      </c>
      <c r="E94" s="16">
        <v>24.0</v>
      </c>
      <c r="F94" s="16" t="s">
        <v>539</v>
      </c>
      <c r="G94" s="16">
        <v>1.75</v>
      </c>
    </row>
    <row r="95" ht="15.75" customHeight="1">
      <c r="A95" s="16" t="s">
        <v>405</v>
      </c>
      <c r="B95" s="16" t="s">
        <v>512</v>
      </c>
      <c r="C95" s="16">
        <v>37.0</v>
      </c>
      <c r="D95" s="16">
        <v>33.0</v>
      </c>
      <c r="E95" s="16">
        <v>24.0</v>
      </c>
      <c r="F95" s="16" t="s">
        <v>545</v>
      </c>
      <c r="G95" s="16">
        <v>2.0</v>
      </c>
    </row>
    <row r="96" ht="15.75" customHeight="1">
      <c r="A96" s="16" t="s">
        <v>415</v>
      </c>
      <c r="B96" s="16" t="s">
        <v>459</v>
      </c>
      <c r="C96" s="16">
        <v>4.75</v>
      </c>
      <c r="D96" s="16">
        <v>3.25</v>
      </c>
      <c r="E96" s="16">
        <v>4.0</v>
      </c>
      <c r="F96" s="16" t="s">
        <v>467</v>
      </c>
      <c r="G96" s="16">
        <v>0.88</v>
      </c>
    </row>
    <row r="97" ht="15.75" customHeight="1">
      <c r="A97" s="16" t="s">
        <v>415</v>
      </c>
      <c r="B97" s="16" t="s">
        <v>467</v>
      </c>
      <c r="C97" s="16">
        <v>5.125</v>
      </c>
      <c r="D97" s="16">
        <v>3.5</v>
      </c>
      <c r="E97" s="16">
        <v>4.0</v>
      </c>
      <c r="F97" s="16" t="s">
        <v>467</v>
      </c>
      <c r="G97" s="16">
        <v>0.88</v>
      </c>
    </row>
    <row r="98" ht="15.75" customHeight="1">
      <c r="A98" s="16" t="s">
        <v>415</v>
      </c>
      <c r="B98" s="16" t="s">
        <v>475</v>
      </c>
      <c r="C98" s="16">
        <v>5.875</v>
      </c>
      <c r="D98" s="16">
        <v>4.0</v>
      </c>
      <c r="E98" s="16">
        <v>4.0</v>
      </c>
      <c r="F98" s="16" t="s">
        <v>505</v>
      </c>
      <c r="G98" s="16">
        <v>1.0</v>
      </c>
    </row>
    <row r="99" ht="15.75" customHeight="1">
      <c r="A99" s="16" t="s">
        <v>415</v>
      </c>
      <c r="B99" s="16" t="s">
        <v>482</v>
      </c>
      <c r="C99" s="16">
        <v>6.25</v>
      </c>
      <c r="D99" s="16">
        <v>4.375</v>
      </c>
      <c r="E99" s="16">
        <v>4.0</v>
      </c>
      <c r="F99" s="16" t="s">
        <v>505</v>
      </c>
      <c r="G99" s="16">
        <v>1.0</v>
      </c>
    </row>
    <row r="100" ht="15.75" customHeight="1">
      <c r="A100" s="16" t="s">
        <v>415</v>
      </c>
      <c r="B100" s="16" t="s">
        <v>488</v>
      </c>
      <c r="C100" s="16">
        <v>7.0</v>
      </c>
      <c r="D100" s="16">
        <v>4.875</v>
      </c>
      <c r="E100" s="16">
        <v>4.0</v>
      </c>
      <c r="F100" s="16" t="s">
        <v>475</v>
      </c>
      <c r="G100" s="16">
        <v>1.12</v>
      </c>
    </row>
    <row r="101" ht="15.75" customHeight="1">
      <c r="A101" s="16" t="s">
        <v>415</v>
      </c>
      <c r="B101" s="16" t="s">
        <v>489</v>
      </c>
      <c r="C101" s="16">
        <v>8.5</v>
      </c>
      <c r="D101" s="16">
        <v>6.5</v>
      </c>
      <c r="E101" s="16">
        <v>8.0</v>
      </c>
      <c r="F101" s="16" t="s">
        <v>505</v>
      </c>
      <c r="G101" s="16">
        <v>1.0</v>
      </c>
    </row>
    <row r="102" ht="15.75" customHeight="1">
      <c r="A102" s="16" t="s">
        <v>415</v>
      </c>
      <c r="B102" s="16" t="s">
        <v>493</v>
      </c>
      <c r="C102" s="16">
        <v>9.625</v>
      </c>
      <c r="D102" s="16">
        <v>7.5</v>
      </c>
      <c r="E102" s="16">
        <v>8.0</v>
      </c>
      <c r="F102" s="16" t="s">
        <v>475</v>
      </c>
      <c r="G102" s="16">
        <v>1.12</v>
      </c>
    </row>
    <row r="103" ht="15.75" customHeight="1">
      <c r="A103" s="16" t="s">
        <v>415</v>
      </c>
      <c r="B103" s="16" t="s">
        <v>497</v>
      </c>
      <c r="C103" s="16">
        <v>9.5</v>
      </c>
      <c r="D103" s="16">
        <v>7.5</v>
      </c>
      <c r="E103" s="16">
        <v>8.0</v>
      </c>
      <c r="F103" s="16" t="s">
        <v>505</v>
      </c>
      <c r="G103" s="16">
        <v>1.0</v>
      </c>
    </row>
    <row r="104" ht="15.75" customHeight="1">
      <c r="A104" s="16" t="s">
        <v>415</v>
      </c>
      <c r="B104" s="16" t="s">
        <v>500</v>
      </c>
      <c r="C104" s="16">
        <v>11.5</v>
      </c>
      <c r="D104" s="16">
        <v>9.25</v>
      </c>
      <c r="E104" s="16">
        <v>8.0</v>
      </c>
      <c r="F104" s="16" t="s">
        <v>510</v>
      </c>
      <c r="G104" s="16">
        <v>1.25</v>
      </c>
    </row>
    <row r="105" ht="15.75" customHeight="1">
      <c r="A105" s="16" t="s">
        <v>415</v>
      </c>
      <c r="B105" s="16" t="s">
        <v>501</v>
      </c>
      <c r="C105" s="16">
        <v>13.75</v>
      </c>
      <c r="D105" s="16">
        <v>11.0</v>
      </c>
      <c r="E105" s="16">
        <v>8.0</v>
      </c>
      <c r="F105" s="16" t="s">
        <v>482</v>
      </c>
      <c r="G105" s="16">
        <v>1.38</v>
      </c>
    </row>
    <row r="106" ht="15.75" customHeight="1">
      <c r="A106" s="16" t="s">
        <v>415</v>
      </c>
      <c r="B106" s="16" t="s">
        <v>502</v>
      </c>
      <c r="C106" s="16">
        <v>15.0</v>
      </c>
      <c r="D106" s="16">
        <v>12.5</v>
      </c>
      <c r="E106" s="16">
        <v>12.0</v>
      </c>
      <c r="F106" s="16" t="s">
        <v>510</v>
      </c>
      <c r="G106" s="16">
        <v>1.25</v>
      </c>
    </row>
    <row r="107" ht="15.75" customHeight="1">
      <c r="A107" s="16" t="s">
        <v>415</v>
      </c>
      <c r="B107" s="16" t="s">
        <v>503</v>
      </c>
      <c r="C107" s="16">
        <v>18.5</v>
      </c>
      <c r="D107" s="16">
        <v>15.5</v>
      </c>
      <c r="E107" s="16">
        <v>12.0</v>
      </c>
      <c r="F107" s="16" t="s">
        <v>530</v>
      </c>
      <c r="G107" s="16">
        <v>1.5</v>
      </c>
    </row>
    <row r="108" ht="15.75" customHeight="1">
      <c r="A108" s="16" t="s">
        <v>415</v>
      </c>
      <c r="B108" s="16" t="s">
        <v>504</v>
      </c>
      <c r="C108" s="16">
        <v>21.5</v>
      </c>
      <c r="D108" s="16">
        <v>18.5</v>
      </c>
      <c r="E108" s="16">
        <v>16.0</v>
      </c>
      <c r="F108" s="16" t="s">
        <v>530</v>
      </c>
      <c r="G108" s="16">
        <v>1.5</v>
      </c>
    </row>
    <row r="109" ht="15.75" customHeight="1">
      <c r="A109" s="16" t="s">
        <v>415</v>
      </c>
      <c r="B109" s="16" t="s">
        <v>506</v>
      </c>
      <c r="C109" s="16">
        <v>24.0</v>
      </c>
      <c r="D109" s="16">
        <v>21.0</v>
      </c>
      <c r="E109" s="16">
        <v>20.0</v>
      </c>
      <c r="F109" s="16" t="s">
        <v>530</v>
      </c>
      <c r="G109" s="16">
        <v>1.5</v>
      </c>
    </row>
    <row r="110" ht="15.75" customHeight="1">
      <c r="A110" s="16" t="s">
        <v>415</v>
      </c>
      <c r="B110" s="16" t="s">
        <v>507</v>
      </c>
      <c r="C110" s="16">
        <v>25.25</v>
      </c>
      <c r="D110" s="16">
        <v>22.0</v>
      </c>
      <c r="E110" s="16">
        <v>20.0</v>
      </c>
      <c r="F110" s="16" t="s">
        <v>488</v>
      </c>
      <c r="G110" s="16">
        <v>1.62</v>
      </c>
    </row>
    <row r="111" ht="15.75" customHeight="1">
      <c r="A111" s="16" t="s">
        <v>415</v>
      </c>
      <c r="B111" s="16" t="s">
        <v>508</v>
      </c>
      <c r="C111" s="16">
        <v>27.75</v>
      </c>
      <c r="D111" s="16">
        <v>24.5</v>
      </c>
      <c r="E111" s="16">
        <v>20.0</v>
      </c>
      <c r="F111" s="16" t="s">
        <v>539</v>
      </c>
      <c r="G111" s="16">
        <v>1.75</v>
      </c>
    </row>
    <row r="112" ht="15.75" customHeight="1">
      <c r="A112" s="16" t="s">
        <v>415</v>
      </c>
      <c r="B112" s="16" t="s">
        <v>509</v>
      </c>
      <c r="C112" s="16">
        <v>31.0</v>
      </c>
      <c r="D112" s="16">
        <v>27.0</v>
      </c>
      <c r="E112" s="16">
        <v>20.0</v>
      </c>
      <c r="F112" s="16" t="s">
        <v>545</v>
      </c>
      <c r="G112" s="16">
        <v>2.0</v>
      </c>
    </row>
    <row r="113" ht="15.75" customHeight="1">
      <c r="A113" s="16" t="s">
        <v>415</v>
      </c>
      <c r="B113" s="16" t="s">
        <v>511</v>
      </c>
      <c r="C113" s="16">
        <v>33.75</v>
      </c>
      <c r="D113" s="16">
        <v>29.5</v>
      </c>
      <c r="E113" s="16">
        <v>20.0</v>
      </c>
      <c r="F113" s="16" t="s">
        <v>489</v>
      </c>
      <c r="G113" s="16">
        <v>2.12</v>
      </c>
    </row>
    <row r="114" ht="15.75" customHeight="1">
      <c r="A114" s="16" t="s">
        <v>415</v>
      </c>
      <c r="B114" s="16" t="s">
        <v>512</v>
      </c>
      <c r="C114" s="16">
        <v>41.0</v>
      </c>
      <c r="D114" s="16">
        <v>35.5</v>
      </c>
      <c r="E114" s="16">
        <v>20.0</v>
      </c>
      <c r="F114" s="16" t="s">
        <v>493</v>
      </c>
      <c r="G114" s="16">
        <v>2.62</v>
      </c>
    </row>
    <row r="115" ht="15.75" customHeight="1">
      <c r="A115" s="16" t="s">
        <v>424</v>
      </c>
      <c r="B115" s="16" t="s">
        <v>459</v>
      </c>
      <c r="C115" s="16">
        <v>4.75</v>
      </c>
      <c r="D115" s="16">
        <v>3.25</v>
      </c>
      <c r="E115" s="16">
        <v>4.0</v>
      </c>
      <c r="F115" s="16" t="s">
        <v>467</v>
      </c>
      <c r="G115" s="16">
        <v>0.88</v>
      </c>
    </row>
    <row r="116" ht="15.75" customHeight="1">
      <c r="A116" s="16" t="s">
        <v>424</v>
      </c>
      <c r="B116" s="16" t="s">
        <v>467</v>
      </c>
      <c r="C116" s="16">
        <v>5.125</v>
      </c>
      <c r="D116" s="16">
        <v>3.5</v>
      </c>
      <c r="E116" s="16">
        <v>4.0</v>
      </c>
      <c r="F116" s="16" t="s">
        <v>467</v>
      </c>
      <c r="G116" s="16">
        <v>0.88</v>
      </c>
    </row>
    <row r="117" ht="15.75" customHeight="1">
      <c r="A117" s="16" t="s">
        <v>424</v>
      </c>
      <c r="B117" s="16" t="s">
        <v>475</v>
      </c>
      <c r="C117" s="16">
        <v>5.875</v>
      </c>
      <c r="D117" s="16">
        <v>4.0</v>
      </c>
      <c r="E117" s="16">
        <v>4.0</v>
      </c>
      <c r="F117" s="16" t="s">
        <v>505</v>
      </c>
      <c r="G117" s="16">
        <v>1.0</v>
      </c>
    </row>
    <row r="118" ht="15.75" customHeight="1">
      <c r="A118" s="16" t="s">
        <v>424</v>
      </c>
      <c r="B118" s="16" t="s">
        <v>482</v>
      </c>
      <c r="C118" s="16">
        <v>6.25</v>
      </c>
      <c r="D118" s="16">
        <v>4.375</v>
      </c>
      <c r="E118" s="16">
        <v>4.0</v>
      </c>
      <c r="F118" s="16" t="s">
        <v>505</v>
      </c>
      <c r="G118" s="16">
        <v>1.0</v>
      </c>
    </row>
    <row r="119" ht="15.75" customHeight="1">
      <c r="A119" s="16" t="s">
        <v>424</v>
      </c>
      <c r="B119" s="16" t="s">
        <v>488</v>
      </c>
      <c r="C119" s="16">
        <v>7.0</v>
      </c>
      <c r="D119" s="16">
        <v>4.875</v>
      </c>
      <c r="E119" s="16">
        <v>4.0</v>
      </c>
      <c r="F119" s="16" t="s">
        <v>475</v>
      </c>
      <c r="G119" s="16">
        <v>1.12</v>
      </c>
    </row>
    <row r="120" ht="15.75" customHeight="1">
      <c r="A120" s="16" t="s">
        <v>424</v>
      </c>
      <c r="B120" s="16" t="s">
        <v>489</v>
      </c>
      <c r="C120" s="16">
        <v>8.5</v>
      </c>
      <c r="D120" s="16">
        <v>6.5</v>
      </c>
      <c r="E120" s="16">
        <v>8.0</v>
      </c>
      <c r="F120" s="16" t="s">
        <v>505</v>
      </c>
      <c r="G120" s="16">
        <v>1.0</v>
      </c>
    </row>
    <row r="121" ht="15.75" customHeight="1">
      <c r="A121" s="16" t="s">
        <v>424</v>
      </c>
      <c r="B121" s="16" t="s">
        <v>493</v>
      </c>
      <c r="C121" s="16">
        <v>9.625</v>
      </c>
      <c r="D121" s="16">
        <v>7.5</v>
      </c>
      <c r="E121" s="16">
        <v>8.0</v>
      </c>
      <c r="F121" s="16" t="s">
        <v>475</v>
      </c>
      <c r="G121" s="16">
        <v>1.12</v>
      </c>
    </row>
    <row r="122" ht="15.75" customHeight="1">
      <c r="A122" s="16" t="s">
        <v>424</v>
      </c>
      <c r="B122" s="16" t="s">
        <v>497</v>
      </c>
      <c r="C122" s="16">
        <v>10.5</v>
      </c>
      <c r="D122" s="16">
        <v>8.0</v>
      </c>
      <c r="E122" s="16">
        <v>8.0</v>
      </c>
      <c r="F122" s="16" t="s">
        <v>510</v>
      </c>
      <c r="G122" s="16">
        <v>1.25</v>
      </c>
    </row>
    <row r="123" ht="15.75" customHeight="1">
      <c r="A123" s="16" t="s">
        <v>424</v>
      </c>
      <c r="B123" s="16" t="s">
        <v>500</v>
      </c>
      <c r="C123" s="16">
        <v>12.25</v>
      </c>
      <c r="D123" s="16">
        <v>9.5</v>
      </c>
      <c r="E123" s="16">
        <v>8.0</v>
      </c>
      <c r="F123" s="16" t="s">
        <v>482</v>
      </c>
      <c r="G123" s="16">
        <v>1.38</v>
      </c>
    </row>
    <row r="124" ht="15.75" customHeight="1">
      <c r="A124" s="16" t="s">
        <v>424</v>
      </c>
      <c r="B124" s="16" t="s">
        <v>501</v>
      </c>
      <c r="C124" s="16">
        <v>14.75</v>
      </c>
      <c r="D124" s="16">
        <v>11.5</v>
      </c>
      <c r="E124" s="16">
        <v>8.0</v>
      </c>
      <c r="F124" s="16" t="s">
        <v>488</v>
      </c>
      <c r="G124" s="16">
        <v>1.62</v>
      </c>
    </row>
    <row r="125" ht="15.75" customHeight="1">
      <c r="A125" s="16" t="s">
        <v>424</v>
      </c>
      <c r="B125" s="16" t="s">
        <v>502</v>
      </c>
      <c r="C125" s="16">
        <v>15.5</v>
      </c>
      <c r="D125" s="16">
        <v>12.5</v>
      </c>
      <c r="E125" s="16">
        <v>12.0</v>
      </c>
      <c r="F125" s="16" t="s">
        <v>530</v>
      </c>
      <c r="G125" s="16">
        <v>1.5</v>
      </c>
    </row>
    <row r="126" ht="15.75" customHeight="1">
      <c r="A126" s="16" t="s">
        <v>424</v>
      </c>
      <c r="B126" s="16" t="s">
        <v>503</v>
      </c>
      <c r="C126" s="16">
        <v>19.0</v>
      </c>
      <c r="D126" s="16">
        <v>15.5</v>
      </c>
      <c r="E126" s="16">
        <v>12.0</v>
      </c>
      <c r="F126" s="16" t="s">
        <v>539</v>
      </c>
      <c r="G126" s="16">
        <v>1.75</v>
      </c>
    </row>
    <row r="127" ht="15.75" customHeight="1">
      <c r="A127" s="16" t="s">
        <v>424</v>
      </c>
      <c r="B127" s="16" t="s">
        <v>504</v>
      </c>
      <c r="C127" s="16">
        <v>23.0</v>
      </c>
      <c r="D127" s="16">
        <v>19.0</v>
      </c>
      <c r="E127" s="16">
        <v>12.0</v>
      </c>
      <c r="F127" s="16" t="s">
        <v>545</v>
      </c>
      <c r="G127" s="16">
        <v>2.0</v>
      </c>
    </row>
    <row r="128" ht="15.75" customHeight="1">
      <c r="A128" s="16" t="s">
        <v>424</v>
      </c>
      <c r="B128" s="16" t="s">
        <v>506</v>
      </c>
      <c r="C128" s="16">
        <v>26.5</v>
      </c>
      <c r="D128" s="16">
        <v>22.5</v>
      </c>
      <c r="E128" s="16">
        <v>16.0</v>
      </c>
      <c r="F128" s="16" t="s">
        <v>489</v>
      </c>
      <c r="G128" s="16">
        <v>2.12</v>
      </c>
    </row>
    <row r="129" ht="15.75" customHeight="1">
      <c r="A129" s="16" t="s">
        <v>424</v>
      </c>
      <c r="B129" s="16" t="s">
        <v>507</v>
      </c>
      <c r="C129" s="16">
        <v>29.5</v>
      </c>
      <c r="D129" s="16">
        <v>25.0</v>
      </c>
      <c r="E129" s="16">
        <v>16.0</v>
      </c>
      <c r="F129" s="16" t="s">
        <v>585</v>
      </c>
      <c r="G129" s="16">
        <v>2.38</v>
      </c>
    </row>
    <row r="130" ht="15.75" customHeight="1">
      <c r="A130" s="16" t="s">
        <v>424</v>
      </c>
      <c r="B130" s="16" t="s">
        <v>508</v>
      </c>
      <c r="C130" s="16">
        <v>32.5</v>
      </c>
      <c r="D130" s="16">
        <v>27.75</v>
      </c>
      <c r="E130" s="16">
        <v>16.0</v>
      </c>
      <c r="F130" s="16" t="s">
        <v>493</v>
      </c>
      <c r="G130" s="16">
        <v>2.62</v>
      </c>
    </row>
    <row r="131" ht="15.75" customHeight="1">
      <c r="A131" s="16" t="s">
        <v>424</v>
      </c>
      <c r="B131" s="16" t="s">
        <v>509</v>
      </c>
      <c r="C131" s="16">
        <v>36.0</v>
      </c>
      <c r="D131" s="16">
        <v>30.5</v>
      </c>
      <c r="E131" s="16">
        <v>16.0</v>
      </c>
      <c r="F131" s="16" t="s">
        <v>592</v>
      </c>
      <c r="G131" s="16">
        <v>2.88</v>
      </c>
    </row>
    <row r="132" ht="15.75" customHeight="1">
      <c r="A132" s="16" t="s">
        <v>424</v>
      </c>
      <c r="B132" s="16" t="s">
        <v>511</v>
      </c>
      <c r="C132" s="16">
        <v>38.75</v>
      </c>
      <c r="D132" s="16">
        <v>32.75</v>
      </c>
      <c r="E132" s="16">
        <v>16.0</v>
      </c>
      <c r="F132" s="16" t="s">
        <v>497</v>
      </c>
      <c r="G132" s="16">
        <v>3.12</v>
      </c>
    </row>
    <row r="133" ht="15.75" customHeight="1">
      <c r="A133" s="16" t="s">
        <v>424</v>
      </c>
      <c r="B133" s="16" t="s">
        <v>512</v>
      </c>
      <c r="C133" s="16">
        <v>46.0</v>
      </c>
      <c r="D133" s="16">
        <v>39.0</v>
      </c>
      <c r="E133" s="16">
        <v>16.0</v>
      </c>
      <c r="F133" s="16" t="s">
        <v>499</v>
      </c>
      <c r="G133" s="16">
        <v>3.62</v>
      </c>
    </row>
    <row r="134" ht="15.75" customHeight="1">
      <c r="A134" s="16" t="s">
        <v>432</v>
      </c>
      <c r="B134" s="16" t="s">
        <v>459</v>
      </c>
      <c r="C134" s="16">
        <v>5.25</v>
      </c>
      <c r="D134" s="16">
        <v>3.5</v>
      </c>
      <c r="E134" s="16">
        <v>4.0</v>
      </c>
      <c r="F134" s="16" t="s">
        <v>467</v>
      </c>
      <c r="G134" s="16">
        <v>0.88</v>
      </c>
    </row>
    <row r="135" ht="15.75" customHeight="1">
      <c r="A135" s="16" t="s">
        <v>432</v>
      </c>
      <c r="B135" s="16" t="s">
        <v>467</v>
      </c>
      <c r="C135" s="16">
        <v>5.5</v>
      </c>
      <c r="D135" s="16">
        <v>3.75</v>
      </c>
      <c r="E135" s="16">
        <v>4.0</v>
      </c>
      <c r="F135" s="16" t="s">
        <v>467</v>
      </c>
      <c r="G135" s="16">
        <v>0.88</v>
      </c>
    </row>
    <row r="136" ht="15.75" customHeight="1">
      <c r="A136" s="16" t="s">
        <v>432</v>
      </c>
      <c r="B136" s="16" t="s">
        <v>475</v>
      </c>
      <c r="C136" s="16">
        <v>6.25</v>
      </c>
      <c r="D136" s="16">
        <v>4.25</v>
      </c>
      <c r="E136" s="16">
        <v>4.0</v>
      </c>
      <c r="F136" s="16" t="s">
        <v>505</v>
      </c>
      <c r="G136" s="16">
        <v>1.0</v>
      </c>
    </row>
    <row r="137" ht="15.75" customHeight="1">
      <c r="A137" s="16" t="s">
        <v>432</v>
      </c>
      <c r="B137" s="16" t="s">
        <v>482</v>
      </c>
      <c r="C137" s="16">
        <v>7.25</v>
      </c>
      <c r="D137" s="16">
        <v>5.125</v>
      </c>
      <c r="E137" s="16">
        <v>4.0</v>
      </c>
      <c r="F137" s="16" t="s">
        <v>475</v>
      </c>
      <c r="G137" s="16">
        <v>1.12</v>
      </c>
    </row>
    <row r="138" ht="15.75" customHeight="1">
      <c r="A138" s="16" t="s">
        <v>432</v>
      </c>
      <c r="B138" s="16" t="s">
        <v>488</v>
      </c>
      <c r="C138" s="16">
        <v>8.0</v>
      </c>
      <c r="D138" s="16">
        <v>5.75</v>
      </c>
      <c r="E138" s="16">
        <v>4.0</v>
      </c>
      <c r="F138" s="16" t="s">
        <v>510</v>
      </c>
      <c r="G138" s="16">
        <v>1.25</v>
      </c>
    </row>
    <row r="139" ht="15.75" customHeight="1">
      <c r="A139" s="16" t="s">
        <v>432</v>
      </c>
      <c r="B139" s="16" t="s">
        <v>489</v>
      </c>
      <c r="C139" s="16">
        <v>9.25</v>
      </c>
      <c r="D139" s="16">
        <v>6.75</v>
      </c>
      <c r="E139" s="16">
        <v>8.0</v>
      </c>
      <c r="F139" s="16" t="s">
        <v>475</v>
      </c>
      <c r="G139" s="16">
        <v>1.12</v>
      </c>
    </row>
    <row r="140" ht="15.75" customHeight="1">
      <c r="A140" s="16" t="s">
        <v>432</v>
      </c>
      <c r="B140" s="16" t="s">
        <v>493</v>
      </c>
      <c r="C140" s="16">
        <v>10.5</v>
      </c>
      <c r="D140" s="16">
        <v>7.75</v>
      </c>
      <c r="E140" s="16">
        <v>8.0</v>
      </c>
      <c r="F140" s="16" t="s">
        <v>510</v>
      </c>
      <c r="G140" s="16">
        <v>1.25</v>
      </c>
    </row>
    <row r="141" ht="15.75" customHeight="1">
      <c r="A141" s="16" t="s">
        <v>432</v>
      </c>
      <c r="B141" s="16" t="s">
        <v>497</v>
      </c>
      <c r="C141" s="16">
        <v>12.0</v>
      </c>
      <c r="D141" s="16">
        <v>9.0</v>
      </c>
      <c r="E141" s="16">
        <v>8.0</v>
      </c>
      <c r="F141" s="16" t="s">
        <v>482</v>
      </c>
      <c r="G141" s="16">
        <v>1.38</v>
      </c>
    </row>
    <row r="142" ht="15.75" customHeight="1">
      <c r="A142" s="16" t="s">
        <v>432</v>
      </c>
      <c r="B142" s="16" t="s">
        <v>500</v>
      </c>
      <c r="C142" s="16">
        <v>14.0</v>
      </c>
      <c r="D142" s="16">
        <v>10.75</v>
      </c>
      <c r="E142" s="16">
        <v>8.0</v>
      </c>
      <c r="F142" s="16" t="s">
        <v>488</v>
      </c>
      <c r="G142" s="16">
        <v>1.62</v>
      </c>
    </row>
    <row r="143" ht="15.75" customHeight="1">
      <c r="A143" s="16" t="s">
        <v>432</v>
      </c>
      <c r="B143" s="16" t="s">
        <v>501</v>
      </c>
      <c r="C143" s="16">
        <v>16.5</v>
      </c>
      <c r="D143" s="16">
        <v>12.75</v>
      </c>
      <c r="E143" s="16">
        <v>8.0</v>
      </c>
      <c r="F143" s="16" t="s">
        <v>531</v>
      </c>
      <c r="G143" s="16">
        <v>1.88</v>
      </c>
    </row>
    <row r="144" ht="15.75" customHeight="1">
      <c r="A144" s="16" t="s">
        <v>432</v>
      </c>
      <c r="B144" s="16" t="s">
        <v>502</v>
      </c>
      <c r="C144" s="16">
        <v>19.0</v>
      </c>
      <c r="D144" s="16">
        <v>14.5</v>
      </c>
      <c r="E144" s="16">
        <v>8.0</v>
      </c>
      <c r="F144" s="16" t="s">
        <v>489</v>
      </c>
      <c r="G144" s="16">
        <v>2.12</v>
      </c>
    </row>
    <row r="145" ht="15.75" customHeight="1">
      <c r="A145" s="16" t="s">
        <v>432</v>
      </c>
      <c r="B145" s="16" t="s">
        <v>503</v>
      </c>
      <c r="C145" s="16">
        <v>21.75</v>
      </c>
      <c r="D145" s="16">
        <v>17.25</v>
      </c>
      <c r="E145" s="16">
        <v>12.0</v>
      </c>
      <c r="F145" s="16" t="s">
        <v>489</v>
      </c>
      <c r="G145" s="16">
        <v>2.12</v>
      </c>
    </row>
    <row r="146" ht="15.75" customHeight="1">
      <c r="A146" s="16" t="s">
        <v>432</v>
      </c>
      <c r="B146" s="16" t="s">
        <v>504</v>
      </c>
      <c r="C146" s="16">
        <v>26.5</v>
      </c>
      <c r="D146" s="16">
        <v>21.25</v>
      </c>
      <c r="E146" s="16">
        <v>12.0</v>
      </c>
      <c r="F146" s="16" t="s">
        <v>493</v>
      </c>
      <c r="G146" s="16">
        <v>2.62</v>
      </c>
    </row>
    <row r="147" ht="15.75" customHeight="1">
      <c r="A147" s="16" t="s">
        <v>432</v>
      </c>
      <c r="B147" s="16" t="s">
        <v>506</v>
      </c>
      <c r="C147" s="16">
        <v>30.0</v>
      </c>
      <c r="D147" s="16">
        <v>24.375</v>
      </c>
      <c r="E147" s="16">
        <v>12.0</v>
      </c>
      <c r="F147" s="16" t="s">
        <v>592</v>
      </c>
      <c r="G147" s="16">
        <v>2.88</v>
      </c>
    </row>
    <row r="148" ht="15.75" customHeight="1"/>
    <row r="149" ht="15.75" customHeight="1">
      <c r="A149" s="17" t="s">
        <v>632</v>
      </c>
    </row>
    <row r="150" ht="31.5" customHeight="1">
      <c r="A150" s="8" t="s">
        <v>357</v>
      </c>
      <c r="B150" s="8" t="s">
        <v>445</v>
      </c>
      <c r="C150" s="8" t="s">
        <v>633</v>
      </c>
      <c r="D150" s="8" t="s">
        <v>634</v>
      </c>
      <c r="E150" s="8" t="s">
        <v>635</v>
      </c>
      <c r="F150" s="8" t="s">
        <v>636</v>
      </c>
      <c r="G150" s="8" t="s">
        <v>637</v>
      </c>
    </row>
    <row r="151" ht="15.75" customHeight="1">
      <c r="A151" s="16" t="s">
        <v>384</v>
      </c>
      <c r="B151" s="16" t="s">
        <v>459</v>
      </c>
      <c r="C151" s="16">
        <v>0.38</v>
      </c>
      <c r="D151" s="16">
        <v>1.81</v>
      </c>
      <c r="E151" s="16">
        <v>1.19</v>
      </c>
      <c r="F151" s="16">
        <v>0.84</v>
      </c>
      <c r="G151" s="16">
        <v>1.375</v>
      </c>
    </row>
    <row r="152" ht="15.75" customHeight="1">
      <c r="A152" s="16" t="s">
        <v>384</v>
      </c>
      <c r="B152" s="16" t="s">
        <v>467</v>
      </c>
      <c r="C152" s="16">
        <v>0.44</v>
      </c>
      <c r="D152" s="16">
        <v>2.0</v>
      </c>
      <c r="E152" s="16">
        <v>1.5</v>
      </c>
      <c r="F152" s="16">
        <v>1.05</v>
      </c>
      <c r="G152" s="16">
        <v>1.688</v>
      </c>
    </row>
    <row r="153" ht="15.75" customHeight="1">
      <c r="A153" s="16" t="s">
        <v>384</v>
      </c>
      <c r="B153" s="16" t="s">
        <v>475</v>
      </c>
      <c r="C153" s="16">
        <v>0.5</v>
      </c>
      <c r="D153" s="16">
        <v>2.12</v>
      </c>
      <c r="E153" s="16">
        <v>1.94</v>
      </c>
      <c r="F153" s="16">
        <v>1.32</v>
      </c>
      <c r="G153" s="16">
        <v>2.0</v>
      </c>
    </row>
    <row r="154" ht="15.75" customHeight="1">
      <c r="A154" s="16" t="s">
        <v>384</v>
      </c>
      <c r="B154" s="16" t="s">
        <v>482</v>
      </c>
      <c r="C154" s="16">
        <v>0.56</v>
      </c>
      <c r="D154" s="16">
        <v>2.19</v>
      </c>
      <c r="E154" s="16">
        <v>2.31</v>
      </c>
      <c r="F154" s="16">
        <v>1.66</v>
      </c>
      <c r="G154" s="16">
        <v>2.5</v>
      </c>
    </row>
    <row r="155" ht="15.75" customHeight="1">
      <c r="A155" s="16" t="s">
        <v>384</v>
      </c>
      <c r="B155" s="16" t="s">
        <v>488</v>
      </c>
      <c r="C155" s="16">
        <v>0.62</v>
      </c>
      <c r="D155" s="16">
        <v>2.38</v>
      </c>
      <c r="E155" s="16">
        <v>2.56</v>
      </c>
      <c r="F155" s="16">
        <v>1.9</v>
      </c>
      <c r="G155" s="16">
        <v>2.875</v>
      </c>
    </row>
    <row r="156" ht="15.75" customHeight="1">
      <c r="A156" s="16" t="s">
        <v>384</v>
      </c>
      <c r="B156" s="16" t="s">
        <v>489</v>
      </c>
      <c r="C156" s="16">
        <v>0.69</v>
      </c>
      <c r="D156" s="16">
        <v>2.44</v>
      </c>
      <c r="E156" s="16">
        <v>3.06</v>
      </c>
      <c r="F156" s="16">
        <v>2.38</v>
      </c>
      <c r="G156" s="16">
        <v>3.625</v>
      </c>
    </row>
    <row r="157" ht="15.75" customHeight="1">
      <c r="A157" s="16" t="s">
        <v>384</v>
      </c>
      <c r="B157" s="16" t="s">
        <v>493</v>
      </c>
      <c r="C157" s="16">
        <v>0.81</v>
      </c>
      <c r="D157" s="16">
        <v>2.69</v>
      </c>
      <c r="E157" s="16">
        <v>3.56</v>
      </c>
      <c r="F157" s="16">
        <v>2.88</v>
      </c>
      <c r="G157" s="16">
        <v>4.125</v>
      </c>
    </row>
    <row r="158" ht="15.75" customHeight="1">
      <c r="A158" s="16" t="s">
        <v>384</v>
      </c>
      <c r="B158" s="16" t="s">
        <v>497</v>
      </c>
      <c r="C158" s="16">
        <v>0.88</v>
      </c>
      <c r="D158" s="16">
        <v>2.69</v>
      </c>
      <c r="E158" s="16">
        <v>4.25</v>
      </c>
      <c r="F158" s="16">
        <v>3.5</v>
      </c>
      <c r="G158" s="16">
        <v>5.0</v>
      </c>
    </row>
    <row r="159" ht="15.75" customHeight="1">
      <c r="A159" s="16" t="s">
        <v>384</v>
      </c>
      <c r="B159" s="16" t="s">
        <v>499</v>
      </c>
      <c r="C159" s="16">
        <v>0.88</v>
      </c>
      <c r="D159" s="16">
        <v>2.75</v>
      </c>
      <c r="E159" s="16">
        <v>4.81</v>
      </c>
      <c r="F159" s="16">
        <v>4.0</v>
      </c>
      <c r="G159" s="16">
        <v>5.5</v>
      </c>
    </row>
    <row r="160" ht="15.75" customHeight="1">
      <c r="A160" s="16" t="s">
        <v>384</v>
      </c>
      <c r="B160" s="16" t="s">
        <v>500</v>
      </c>
      <c r="C160" s="16">
        <v>0.88</v>
      </c>
      <c r="D160" s="16">
        <v>2.94</v>
      </c>
      <c r="E160" s="16">
        <v>5.31</v>
      </c>
      <c r="F160" s="16">
        <v>4.5</v>
      </c>
      <c r="G160" s="16">
        <v>6.188</v>
      </c>
    </row>
    <row r="161" ht="15.75" customHeight="1">
      <c r="A161" s="16" t="s">
        <v>384</v>
      </c>
      <c r="B161" s="16" t="s">
        <v>501</v>
      </c>
      <c r="C161" s="16">
        <v>0.88</v>
      </c>
      <c r="D161" s="16">
        <v>3.44</v>
      </c>
      <c r="E161" s="16">
        <v>6.44</v>
      </c>
      <c r="F161" s="16">
        <v>5.56</v>
      </c>
      <c r="G161" s="16">
        <v>7.313</v>
      </c>
    </row>
    <row r="162" ht="15.75" customHeight="1">
      <c r="A162" s="16" t="s">
        <v>384</v>
      </c>
      <c r="B162" s="16" t="s">
        <v>502</v>
      </c>
      <c r="C162" s="16">
        <v>0.94</v>
      </c>
      <c r="D162" s="16">
        <v>3.44</v>
      </c>
      <c r="E162" s="16">
        <v>7.56</v>
      </c>
      <c r="F162" s="16">
        <v>6.63</v>
      </c>
      <c r="G162" s="16">
        <v>8.5</v>
      </c>
    </row>
    <row r="163" ht="15.75" customHeight="1">
      <c r="A163" s="16" t="s">
        <v>384</v>
      </c>
      <c r="B163" s="16" t="s">
        <v>503</v>
      </c>
      <c r="C163" s="16">
        <v>1.06</v>
      </c>
      <c r="D163" s="16">
        <v>3.94</v>
      </c>
      <c r="E163" s="16">
        <v>9.69</v>
      </c>
      <c r="F163" s="16">
        <v>8.63</v>
      </c>
      <c r="G163" s="16">
        <v>10.625</v>
      </c>
    </row>
    <row r="164" ht="15.75" customHeight="1">
      <c r="A164" s="16" t="s">
        <v>384</v>
      </c>
      <c r="B164" s="16" t="s">
        <v>504</v>
      </c>
      <c r="C164" s="16">
        <v>1.12</v>
      </c>
      <c r="D164" s="16">
        <v>3.94</v>
      </c>
      <c r="E164" s="16">
        <v>12.06</v>
      </c>
      <c r="F164" s="16">
        <v>10.75</v>
      </c>
      <c r="G164" s="16">
        <v>12.75</v>
      </c>
    </row>
    <row r="165" ht="15.75" customHeight="1">
      <c r="A165" s="16" t="s">
        <v>384</v>
      </c>
      <c r="B165" s="16" t="s">
        <v>506</v>
      </c>
      <c r="C165" s="16">
        <v>1.19</v>
      </c>
      <c r="D165" s="16">
        <v>4.44</v>
      </c>
      <c r="E165" s="16">
        <v>14.38</v>
      </c>
      <c r="F165" s="16">
        <v>12.75</v>
      </c>
      <c r="G165" s="16">
        <v>15.0</v>
      </c>
    </row>
    <row r="166" ht="15.75" customHeight="1">
      <c r="A166" s="16" t="s">
        <v>384</v>
      </c>
      <c r="B166" s="16" t="s">
        <v>507</v>
      </c>
      <c r="C166" s="16">
        <v>1.31</v>
      </c>
      <c r="D166" s="16">
        <v>4.94</v>
      </c>
      <c r="E166" s="16">
        <v>15.78</v>
      </c>
      <c r="F166" s="16">
        <v>14.0</v>
      </c>
      <c r="G166" s="16">
        <v>16.25</v>
      </c>
    </row>
    <row r="167" ht="15.75" customHeight="1">
      <c r="A167" s="16" t="s">
        <v>384</v>
      </c>
      <c r="B167" s="16" t="s">
        <v>508</v>
      </c>
      <c r="C167" s="16">
        <v>1.38</v>
      </c>
      <c r="D167" s="16">
        <v>4.94</v>
      </c>
      <c r="E167" s="16">
        <v>18.0</v>
      </c>
      <c r="F167" s="16">
        <v>16.0</v>
      </c>
      <c r="G167" s="16">
        <v>18.5</v>
      </c>
    </row>
    <row r="168" ht="15.75" customHeight="1">
      <c r="A168" s="16" t="s">
        <v>384</v>
      </c>
      <c r="B168" s="16" t="s">
        <v>509</v>
      </c>
      <c r="C168" s="16">
        <v>1.5</v>
      </c>
      <c r="D168" s="16">
        <v>5.44</v>
      </c>
      <c r="E168" s="16">
        <v>19.88</v>
      </c>
      <c r="F168" s="16">
        <v>18.0</v>
      </c>
      <c r="G168" s="16">
        <v>21.0</v>
      </c>
    </row>
    <row r="169" ht="15.75" customHeight="1">
      <c r="A169" s="16" t="s">
        <v>384</v>
      </c>
      <c r="B169" s="16" t="s">
        <v>511</v>
      </c>
      <c r="C169" s="16">
        <v>1.62</v>
      </c>
      <c r="D169" s="16">
        <v>5.62</v>
      </c>
      <c r="E169" s="16">
        <v>22.0</v>
      </c>
      <c r="F169" s="16">
        <v>20.0</v>
      </c>
      <c r="G169" s="16">
        <v>23.0</v>
      </c>
    </row>
    <row r="170" ht="15.75" customHeight="1">
      <c r="A170" s="16" t="s">
        <v>384</v>
      </c>
      <c r="B170" s="16" t="s">
        <v>512</v>
      </c>
      <c r="C170" s="16">
        <v>1.81</v>
      </c>
      <c r="D170" s="16">
        <v>5.94</v>
      </c>
      <c r="E170" s="16">
        <v>26.12</v>
      </c>
      <c r="F170" s="16">
        <v>24.0</v>
      </c>
      <c r="G170" s="16">
        <v>27.25</v>
      </c>
    </row>
    <row r="171" ht="15.75" customHeight="1"/>
    <row r="172" ht="15.75" customHeight="1">
      <c r="A172" s="17" t="s">
        <v>638</v>
      </c>
    </row>
    <row r="173" ht="31.5" customHeight="1">
      <c r="A173" s="8" t="s">
        <v>357</v>
      </c>
      <c r="B173" s="8" t="s">
        <v>445</v>
      </c>
      <c r="C173" s="8" t="s">
        <v>633</v>
      </c>
      <c r="D173" s="8" t="s">
        <v>637</v>
      </c>
      <c r="E173" s="8" t="s">
        <v>639</v>
      </c>
      <c r="F173" s="8" t="s">
        <v>640</v>
      </c>
      <c r="G173" s="8"/>
    </row>
    <row r="174" ht="15.75" customHeight="1">
      <c r="A174" s="16" t="s">
        <v>384</v>
      </c>
      <c r="B174" s="16" t="s">
        <v>459</v>
      </c>
      <c r="C174" s="16">
        <v>0.375</v>
      </c>
      <c r="D174" s="16">
        <v>1.375</v>
      </c>
      <c r="E174" s="16">
        <v>0.5</v>
      </c>
      <c r="F174" s="16">
        <f t="shared" ref="F174:F285" si="1">E174*1.015</f>
        <v>0.5075</v>
      </c>
      <c r="G174" s="16"/>
    </row>
    <row r="175" ht="15.75" customHeight="1">
      <c r="A175" s="16" t="s">
        <v>384</v>
      </c>
      <c r="B175" s="16" t="s">
        <v>467</v>
      </c>
      <c r="C175" s="16">
        <v>0.375</v>
      </c>
      <c r="D175" s="16">
        <v>1.75</v>
      </c>
      <c r="E175" s="16">
        <v>0.7</v>
      </c>
      <c r="F175" s="16">
        <f t="shared" si="1"/>
        <v>0.7105</v>
      </c>
      <c r="G175" s="16"/>
    </row>
    <row r="176" ht="15.75" customHeight="1">
      <c r="A176" s="16" t="s">
        <v>384</v>
      </c>
      <c r="B176" s="16" t="s">
        <v>475</v>
      </c>
      <c r="C176" s="16">
        <v>0.375</v>
      </c>
      <c r="D176" s="16">
        <v>2.125</v>
      </c>
      <c r="E176" s="16">
        <v>1.0</v>
      </c>
      <c r="F176" s="16">
        <f t="shared" si="1"/>
        <v>1.015</v>
      </c>
      <c r="G176" s="16"/>
    </row>
    <row r="177" ht="15.75" customHeight="1">
      <c r="A177" s="16" t="s">
        <v>384</v>
      </c>
      <c r="B177" s="16" t="s">
        <v>482</v>
      </c>
      <c r="C177" s="16">
        <v>0.375</v>
      </c>
      <c r="D177" s="16">
        <v>2.5</v>
      </c>
      <c r="E177" s="16">
        <v>1.3</v>
      </c>
      <c r="F177" s="16">
        <f t="shared" si="1"/>
        <v>1.3195</v>
      </c>
      <c r="G177" s="16"/>
    </row>
    <row r="178" ht="15.75" customHeight="1">
      <c r="A178" s="16" t="s">
        <v>384</v>
      </c>
      <c r="B178" s="16" t="s">
        <v>488</v>
      </c>
      <c r="C178" s="16">
        <v>0.375</v>
      </c>
      <c r="D178" s="16">
        <v>2.875</v>
      </c>
      <c r="E178" s="16">
        <v>1.6</v>
      </c>
      <c r="F178" s="16">
        <f t="shared" si="1"/>
        <v>1.624</v>
      </c>
      <c r="G178" s="16"/>
    </row>
    <row r="179" ht="15.75" customHeight="1">
      <c r="A179" s="16" t="s">
        <v>384</v>
      </c>
      <c r="B179" s="16" t="s">
        <v>489</v>
      </c>
      <c r="C179" s="16">
        <v>0.5</v>
      </c>
      <c r="D179" s="16">
        <v>3.625</v>
      </c>
      <c r="E179" s="16">
        <v>2.6</v>
      </c>
      <c r="F179" s="16">
        <f t="shared" si="1"/>
        <v>2.639</v>
      </c>
      <c r="G179" s="16"/>
    </row>
    <row r="180" ht="15.75" customHeight="1">
      <c r="A180" s="16" t="s">
        <v>384</v>
      </c>
      <c r="B180" s="16" t="s">
        <v>493</v>
      </c>
      <c r="C180" s="16">
        <v>0.5</v>
      </c>
      <c r="D180" s="16">
        <v>4.125</v>
      </c>
      <c r="E180" s="16">
        <v>3.8</v>
      </c>
      <c r="F180" s="16">
        <f t="shared" si="1"/>
        <v>3.857</v>
      </c>
      <c r="G180" s="16"/>
    </row>
    <row r="181" ht="15.75" customHeight="1">
      <c r="A181" s="16" t="s">
        <v>384</v>
      </c>
      <c r="B181" s="16" t="s">
        <v>497</v>
      </c>
      <c r="C181" s="16">
        <v>0.5</v>
      </c>
      <c r="D181" s="16">
        <v>5.0</v>
      </c>
      <c r="E181" s="16">
        <v>4.8</v>
      </c>
      <c r="F181" s="16">
        <f t="shared" si="1"/>
        <v>4.872</v>
      </c>
      <c r="G181" s="16"/>
    </row>
    <row r="182" ht="15.75" customHeight="1">
      <c r="A182" s="16" t="s">
        <v>384</v>
      </c>
      <c r="B182" s="16" t="s">
        <v>499</v>
      </c>
      <c r="C182" s="16">
        <v>0.5</v>
      </c>
      <c r="D182" s="16">
        <v>5.5</v>
      </c>
      <c r="E182" s="16">
        <v>6.4</v>
      </c>
      <c r="F182" s="16">
        <f t="shared" si="1"/>
        <v>6.496</v>
      </c>
      <c r="G182" s="16"/>
    </row>
    <row r="183" ht="15.75" customHeight="1">
      <c r="A183" s="16" t="s">
        <v>384</v>
      </c>
      <c r="B183" s="16" t="s">
        <v>500</v>
      </c>
      <c r="C183" s="16">
        <v>0.5</v>
      </c>
      <c r="D183" s="16">
        <v>6.125</v>
      </c>
      <c r="E183" s="16">
        <v>7.6</v>
      </c>
      <c r="F183" s="16">
        <f t="shared" si="1"/>
        <v>7.714</v>
      </c>
      <c r="G183" s="16"/>
    </row>
    <row r="184" ht="15.75" customHeight="1">
      <c r="A184" s="16" t="s">
        <v>384</v>
      </c>
      <c r="B184" s="16" t="s">
        <v>501</v>
      </c>
      <c r="C184" s="16">
        <v>0.5</v>
      </c>
      <c r="D184" s="16">
        <v>7.25</v>
      </c>
      <c r="E184" s="16">
        <v>9.4</v>
      </c>
      <c r="F184" s="16">
        <f t="shared" si="1"/>
        <v>9.541</v>
      </c>
      <c r="G184" s="16"/>
    </row>
    <row r="185" ht="15.75" customHeight="1">
      <c r="A185" s="16" t="s">
        <v>384</v>
      </c>
      <c r="B185" s="16" t="s">
        <v>502</v>
      </c>
      <c r="C185" s="16">
        <v>0.5</v>
      </c>
      <c r="D185" s="16">
        <v>8.5</v>
      </c>
      <c r="E185" s="16">
        <v>11.8</v>
      </c>
      <c r="F185" s="16">
        <f t="shared" si="1"/>
        <v>11.977</v>
      </c>
      <c r="G185" s="16"/>
    </row>
    <row r="186" ht="15.75" customHeight="1">
      <c r="A186" s="16" t="s">
        <v>384</v>
      </c>
      <c r="B186" s="16" t="s">
        <v>503</v>
      </c>
      <c r="C186" s="16">
        <v>0.625</v>
      </c>
      <c r="D186" s="16">
        <v>10.5</v>
      </c>
      <c r="E186" s="16">
        <v>19.6</v>
      </c>
      <c r="F186" s="16">
        <f t="shared" si="1"/>
        <v>19.894</v>
      </c>
      <c r="G186" s="16"/>
    </row>
    <row r="187" ht="15.75" customHeight="1">
      <c r="A187" s="16" t="s">
        <v>384</v>
      </c>
      <c r="B187" s="16" t="s">
        <v>504</v>
      </c>
      <c r="C187" s="16">
        <v>0.75</v>
      </c>
      <c r="D187" s="16">
        <v>12.75</v>
      </c>
      <c r="E187" s="16">
        <v>33.5</v>
      </c>
      <c r="F187" s="16">
        <f t="shared" si="1"/>
        <v>34.0025</v>
      </c>
      <c r="G187" s="16"/>
    </row>
    <row r="188" ht="15.75" customHeight="1">
      <c r="A188" s="16" t="s">
        <v>384</v>
      </c>
      <c r="B188" s="16" t="s">
        <v>506</v>
      </c>
      <c r="C188" s="16">
        <v>0.75</v>
      </c>
      <c r="D188" s="16">
        <v>15.0</v>
      </c>
      <c r="E188" s="16">
        <v>51.0</v>
      </c>
      <c r="F188" s="16">
        <f t="shared" si="1"/>
        <v>51.765</v>
      </c>
      <c r="G188" s="16"/>
    </row>
    <row r="189" ht="15.75" customHeight="1">
      <c r="A189" s="16" t="s">
        <v>384</v>
      </c>
      <c r="B189" s="16" t="s">
        <v>507</v>
      </c>
      <c r="C189" s="16">
        <v>0.875</v>
      </c>
      <c r="D189" s="16">
        <v>16.25</v>
      </c>
      <c r="E189" s="16">
        <v>70.0</v>
      </c>
      <c r="F189" s="16">
        <f t="shared" si="1"/>
        <v>71.05</v>
      </c>
      <c r="G189" s="16"/>
    </row>
    <row r="190" ht="15.75" customHeight="1">
      <c r="A190" s="16" t="s">
        <v>384</v>
      </c>
      <c r="B190" s="16" t="s">
        <v>508</v>
      </c>
      <c r="C190" s="16">
        <v>0.875</v>
      </c>
      <c r="D190" s="16">
        <v>18.5</v>
      </c>
      <c r="E190" s="16">
        <v>91.0</v>
      </c>
      <c r="F190" s="16">
        <f t="shared" si="1"/>
        <v>92.365</v>
      </c>
      <c r="G190" s="16"/>
    </row>
    <row r="191" ht="15.75" customHeight="1">
      <c r="A191" s="16" t="s">
        <v>384</v>
      </c>
      <c r="B191" s="16" t="s">
        <v>509</v>
      </c>
      <c r="C191" s="16">
        <v>0.875</v>
      </c>
      <c r="D191" s="16">
        <v>21.0</v>
      </c>
      <c r="E191" s="16">
        <v>103.0</v>
      </c>
      <c r="F191" s="16">
        <f t="shared" si="1"/>
        <v>104.545</v>
      </c>
      <c r="G191" s="16"/>
    </row>
    <row r="192" ht="15.75" customHeight="1">
      <c r="A192" s="16" t="s">
        <v>384</v>
      </c>
      <c r="B192" s="16" t="s">
        <v>511</v>
      </c>
      <c r="C192" s="16">
        <v>0.875</v>
      </c>
      <c r="D192" s="16">
        <v>23.0</v>
      </c>
      <c r="E192" s="16">
        <v>126.0</v>
      </c>
      <c r="F192" s="16">
        <f t="shared" si="1"/>
        <v>127.89</v>
      </c>
      <c r="G192" s="16"/>
    </row>
    <row r="193" ht="15.75" customHeight="1">
      <c r="A193" s="16" t="s">
        <v>384</v>
      </c>
      <c r="B193" s="16" t="s">
        <v>512</v>
      </c>
      <c r="C193" s="16">
        <v>0.875</v>
      </c>
      <c r="D193" s="16">
        <v>27.25</v>
      </c>
      <c r="E193" s="16">
        <v>178.0</v>
      </c>
      <c r="F193" s="16">
        <f t="shared" si="1"/>
        <v>180.67</v>
      </c>
      <c r="G193" s="16"/>
    </row>
    <row r="194" ht="15.75" customHeight="1">
      <c r="A194" s="16" t="s">
        <v>391</v>
      </c>
      <c r="B194" s="16" t="s">
        <v>459</v>
      </c>
      <c r="C194" s="16">
        <v>0.375</v>
      </c>
      <c r="D194" s="16">
        <v>1.375</v>
      </c>
      <c r="E194" s="16">
        <v>0.7</v>
      </c>
      <c r="F194" s="16">
        <f t="shared" si="1"/>
        <v>0.7105</v>
      </c>
      <c r="G194" s="16"/>
    </row>
    <row r="195" ht="15.75" customHeight="1">
      <c r="A195" s="16" t="s">
        <v>391</v>
      </c>
      <c r="B195" s="16" t="s">
        <v>467</v>
      </c>
      <c r="C195" s="16">
        <v>0.375</v>
      </c>
      <c r="D195" s="16">
        <v>1.75</v>
      </c>
      <c r="E195" s="16">
        <v>1.1</v>
      </c>
      <c r="F195" s="16">
        <f t="shared" si="1"/>
        <v>1.1165</v>
      </c>
      <c r="G195" s="16"/>
    </row>
    <row r="196" ht="15.75" customHeight="1">
      <c r="A196" s="16" t="s">
        <v>391</v>
      </c>
      <c r="B196" s="16" t="s">
        <v>475</v>
      </c>
      <c r="C196" s="16">
        <v>0.375</v>
      </c>
      <c r="D196" s="16">
        <v>2.125</v>
      </c>
      <c r="E196" s="16">
        <v>1.3</v>
      </c>
      <c r="F196" s="16">
        <f t="shared" si="1"/>
        <v>1.3195</v>
      </c>
      <c r="G196" s="16"/>
    </row>
    <row r="197" ht="15.75" customHeight="1">
      <c r="A197" s="16" t="s">
        <v>391</v>
      </c>
      <c r="B197" s="16" t="s">
        <v>482</v>
      </c>
      <c r="C197" s="16">
        <v>0.375</v>
      </c>
      <c r="D197" s="16">
        <v>2.5</v>
      </c>
      <c r="E197" s="16">
        <v>1.6</v>
      </c>
      <c r="F197" s="16">
        <f t="shared" si="1"/>
        <v>1.624</v>
      </c>
      <c r="G197" s="16"/>
    </row>
    <row r="198" ht="15.75" customHeight="1">
      <c r="A198" s="16" t="s">
        <v>391</v>
      </c>
      <c r="B198" s="16" t="s">
        <v>488</v>
      </c>
      <c r="C198" s="16">
        <v>0.5</v>
      </c>
      <c r="D198" s="16">
        <v>2.875</v>
      </c>
      <c r="E198" s="16">
        <v>2.6</v>
      </c>
      <c r="F198" s="16">
        <f t="shared" si="1"/>
        <v>2.639</v>
      </c>
      <c r="G198" s="16"/>
    </row>
    <row r="199" ht="15.75" customHeight="1">
      <c r="A199" s="16" t="s">
        <v>391</v>
      </c>
      <c r="B199" s="16" t="s">
        <v>489</v>
      </c>
      <c r="C199" s="16">
        <v>0.5</v>
      </c>
      <c r="D199" s="16">
        <v>3.625</v>
      </c>
      <c r="E199" s="16">
        <v>3.0</v>
      </c>
      <c r="F199" s="16">
        <f t="shared" si="1"/>
        <v>3.045</v>
      </c>
      <c r="G199" s="16"/>
    </row>
    <row r="200" ht="15.75" customHeight="1">
      <c r="A200" s="16" t="s">
        <v>391</v>
      </c>
      <c r="B200" s="16" t="s">
        <v>493</v>
      </c>
      <c r="C200" s="16">
        <v>0.5</v>
      </c>
      <c r="D200" s="16">
        <v>4.125</v>
      </c>
      <c r="E200" s="16">
        <v>4.5</v>
      </c>
      <c r="F200" s="16">
        <f t="shared" si="1"/>
        <v>4.5675</v>
      </c>
      <c r="G200" s="16"/>
    </row>
    <row r="201" ht="15.75" customHeight="1">
      <c r="A201" s="16" t="s">
        <v>391</v>
      </c>
      <c r="B201" s="16" t="s">
        <v>497</v>
      </c>
      <c r="C201" s="16">
        <v>0.5</v>
      </c>
      <c r="D201" s="16">
        <v>5.0</v>
      </c>
      <c r="E201" s="16">
        <v>5.9</v>
      </c>
      <c r="F201" s="16">
        <f t="shared" si="1"/>
        <v>5.9885</v>
      </c>
      <c r="G201" s="16"/>
    </row>
    <row r="202" ht="15.75" customHeight="1">
      <c r="A202" s="16" t="s">
        <v>391</v>
      </c>
      <c r="B202" s="16" t="s">
        <v>499</v>
      </c>
      <c r="C202" s="16">
        <v>0.625</v>
      </c>
      <c r="D202" s="16">
        <v>5.5</v>
      </c>
      <c r="E202" s="16">
        <v>8.3</v>
      </c>
      <c r="F202" s="16">
        <f t="shared" si="1"/>
        <v>8.4245</v>
      </c>
      <c r="G202" s="16"/>
    </row>
    <row r="203" ht="15.75" customHeight="1">
      <c r="A203" s="16" t="s">
        <v>391</v>
      </c>
      <c r="B203" s="16" t="s">
        <v>500</v>
      </c>
      <c r="C203" s="16">
        <v>0.625</v>
      </c>
      <c r="D203" s="16">
        <v>6.25</v>
      </c>
      <c r="E203" s="16">
        <v>11.6</v>
      </c>
      <c r="F203" s="16">
        <f t="shared" si="1"/>
        <v>11.774</v>
      </c>
      <c r="G203" s="16"/>
    </row>
    <row r="204" ht="15.75" customHeight="1">
      <c r="A204" s="16" t="s">
        <v>391</v>
      </c>
      <c r="B204" s="16" t="s">
        <v>501</v>
      </c>
      <c r="C204" s="16">
        <v>0.75</v>
      </c>
      <c r="D204" s="16">
        <v>7.75</v>
      </c>
      <c r="E204" s="16">
        <v>19.9</v>
      </c>
      <c r="F204" s="16">
        <f t="shared" si="1"/>
        <v>20.1985</v>
      </c>
      <c r="G204" s="16"/>
    </row>
    <row r="205" ht="15.75" customHeight="1">
      <c r="A205" s="16" t="s">
        <v>391</v>
      </c>
      <c r="B205" s="16" t="s">
        <v>502</v>
      </c>
      <c r="C205" s="16">
        <v>0.75</v>
      </c>
      <c r="D205" s="16">
        <v>8.5</v>
      </c>
      <c r="E205" s="16">
        <v>24.0</v>
      </c>
      <c r="F205" s="16">
        <f t="shared" si="1"/>
        <v>24.36</v>
      </c>
      <c r="G205" s="16"/>
    </row>
    <row r="206" ht="15.75" customHeight="1">
      <c r="A206" s="16" t="s">
        <v>391</v>
      </c>
      <c r="B206" s="16" t="s">
        <v>503</v>
      </c>
      <c r="C206" s="16">
        <v>0.875</v>
      </c>
      <c r="D206" s="16">
        <v>10.5</v>
      </c>
      <c r="E206" s="16">
        <v>39.0</v>
      </c>
      <c r="F206" s="16">
        <f t="shared" si="1"/>
        <v>39.585</v>
      </c>
      <c r="G206" s="16"/>
    </row>
    <row r="207" ht="15.75" customHeight="1">
      <c r="A207" s="16" t="s">
        <v>391</v>
      </c>
      <c r="B207" s="16" t="s">
        <v>504</v>
      </c>
      <c r="C207" s="16">
        <v>1.0</v>
      </c>
      <c r="D207" s="16">
        <v>12.75</v>
      </c>
      <c r="E207" s="16">
        <v>67.0</v>
      </c>
      <c r="F207" s="16">
        <f t="shared" si="1"/>
        <v>68.005</v>
      </c>
      <c r="G207" s="16"/>
    </row>
    <row r="208" ht="15.75" customHeight="1">
      <c r="A208" s="16" t="s">
        <v>391</v>
      </c>
      <c r="B208" s="16" t="s">
        <v>506</v>
      </c>
      <c r="C208" s="16">
        <v>1.0</v>
      </c>
      <c r="D208" s="16">
        <v>15.0</v>
      </c>
      <c r="E208" s="16">
        <v>86.0</v>
      </c>
      <c r="F208" s="16">
        <f t="shared" si="1"/>
        <v>87.29</v>
      </c>
      <c r="G208" s="16"/>
    </row>
    <row r="209" ht="15.75" customHeight="1">
      <c r="A209" s="16" t="s">
        <v>391</v>
      </c>
      <c r="B209" s="16" t="s">
        <v>507</v>
      </c>
      <c r="C209" s="16">
        <v>1.125</v>
      </c>
      <c r="D209" s="16">
        <v>16.25</v>
      </c>
      <c r="E209" s="16">
        <v>113.0</v>
      </c>
      <c r="F209" s="16">
        <f t="shared" si="1"/>
        <v>114.695</v>
      </c>
      <c r="G209" s="16"/>
    </row>
    <row r="210" ht="15.75" customHeight="1">
      <c r="A210" s="16" t="s">
        <v>391</v>
      </c>
      <c r="B210" s="16" t="s">
        <v>508</v>
      </c>
      <c r="C210" s="16">
        <v>1.25</v>
      </c>
      <c r="D210" s="16">
        <v>18.5</v>
      </c>
      <c r="E210" s="16">
        <v>150.0</v>
      </c>
      <c r="F210" s="16">
        <f t="shared" si="1"/>
        <v>152.25</v>
      </c>
      <c r="G210" s="16"/>
    </row>
    <row r="211" ht="15.75" customHeight="1">
      <c r="A211" s="16" t="s">
        <v>391</v>
      </c>
      <c r="B211" s="16" t="s">
        <v>509</v>
      </c>
      <c r="C211" s="16">
        <v>1.375</v>
      </c>
      <c r="D211" s="16">
        <v>21.0</v>
      </c>
      <c r="E211" s="16">
        <v>194.0</v>
      </c>
      <c r="F211" s="16">
        <f t="shared" si="1"/>
        <v>196.91</v>
      </c>
      <c r="G211" s="16"/>
    </row>
    <row r="212" ht="15.75" customHeight="1">
      <c r="A212" s="16" t="s">
        <v>391</v>
      </c>
      <c r="B212" s="16" t="s">
        <v>511</v>
      </c>
      <c r="C212" s="16">
        <v>1.375</v>
      </c>
      <c r="D212" s="16">
        <v>23.0</v>
      </c>
      <c r="E212" s="16">
        <v>228.0</v>
      </c>
      <c r="F212" s="16">
        <f t="shared" si="1"/>
        <v>231.42</v>
      </c>
      <c r="G212" s="16"/>
    </row>
    <row r="213" ht="15.75" customHeight="1">
      <c r="A213" s="16" t="s">
        <v>391</v>
      </c>
      <c r="B213" s="16" t="s">
        <v>512</v>
      </c>
      <c r="C213" s="16">
        <v>1.625</v>
      </c>
      <c r="D213" s="16">
        <v>27.25</v>
      </c>
      <c r="E213" s="16">
        <v>371.0</v>
      </c>
      <c r="F213" s="16">
        <f t="shared" si="1"/>
        <v>376.565</v>
      </c>
      <c r="G213" s="16"/>
    </row>
    <row r="214" ht="15.75" customHeight="1">
      <c r="A214" s="16" t="s">
        <v>405</v>
      </c>
      <c r="B214" s="16" t="s">
        <v>459</v>
      </c>
      <c r="C214" s="16">
        <v>0.375</v>
      </c>
      <c r="D214" s="16">
        <v>1.375</v>
      </c>
      <c r="E214" s="16">
        <v>0.7</v>
      </c>
      <c r="F214" s="16">
        <f t="shared" si="1"/>
        <v>0.7105</v>
      </c>
      <c r="G214" s="16"/>
    </row>
    <row r="215" ht="15.75" customHeight="1">
      <c r="A215" s="16" t="s">
        <v>405</v>
      </c>
      <c r="B215" s="16" t="s">
        <v>467</v>
      </c>
      <c r="C215" s="16">
        <v>0.5</v>
      </c>
      <c r="D215" s="16">
        <v>1.75</v>
      </c>
      <c r="E215" s="16">
        <v>1.3</v>
      </c>
      <c r="F215" s="16">
        <f t="shared" si="1"/>
        <v>1.3195</v>
      </c>
      <c r="G215" s="16"/>
    </row>
    <row r="216" ht="15.75" customHeight="1">
      <c r="A216" s="16" t="s">
        <v>405</v>
      </c>
      <c r="B216" s="16" t="s">
        <v>475</v>
      </c>
      <c r="C216" s="16">
        <v>0.5</v>
      </c>
      <c r="D216" s="16">
        <v>2.125</v>
      </c>
      <c r="E216" s="16">
        <v>1.6</v>
      </c>
      <c r="F216" s="16">
        <f t="shared" si="1"/>
        <v>1.624</v>
      </c>
      <c r="G216" s="16"/>
    </row>
    <row r="217" ht="15.75" customHeight="1">
      <c r="A217" s="16" t="s">
        <v>405</v>
      </c>
      <c r="B217" s="16" t="s">
        <v>482</v>
      </c>
      <c r="C217" s="16">
        <v>0.5</v>
      </c>
      <c r="D217" s="16">
        <v>2.5</v>
      </c>
      <c r="E217" s="16">
        <v>1.9</v>
      </c>
      <c r="F217" s="16">
        <f t="shared" si="1"/>
        <v>1.9285</v>
      </c>
      <c r="G217" s="16"/>
    </row>
    <row r="218" ht="15.75" customHeight="1">
      <c r="A218" s="16" t="s">
        <v>405</v>
      </c>
      <c r="B218" s="16" t="s">
        <v>488</v>
      </c>
      <c r="C218" s="16">
        <v>0.5</v>
      </c>
      <c r="D218" s="16">
        <v>2.875</v>
      </c>
      <c r="E218" s="16">
        <v>2.9</v>
      </c>
      <c r="F218" s="16">
        <f t="shared" si="1"/>
        <v>2.9435</v>
      </c>
      <c r="G218" s="16"/>
    </row>
    <row r="219" ht="15.75" customHeight="1">
      <c r="A219" s="16" t="s">
        <v>405</v>
      </c>
      <c r="B219" s="16" t="s">
        <v>489</v>
      </c>
      <c r="C219" s="16">
        <v>0.5</v>
      </c>
      <c r="D219" s="16">
        <v>3.625</v>
      </c>
      <c r="E219" s="16">
        <v>3.2</v>
      </c>
      <c r="F219" s="16">
        <f t="shared" si="1"/>
        <v>3.248</v>
      </c>
      <c r="G219" s="16"/>
    </row>
    <row r="220" ht="15.75" customHeight="1">
      <c r="A220" s="16" t="s">
        <v>405</v>
      </c>
      <c r="B220" s="16" t="s">
        <v>493</v>
      </c>
      <c r="C220" s="16">
        <v>0.625</v>
      </c>
      <c r="D220" s="16">
        <v>4.125</v>
      </c>
      <c r="E220" s="16">
        <v>5.1</v>
      </c>
      <c r="F220" s="16">
        <f t="shared" si="1"/>
        <v>5.1765</v>
      </c>
      <c r="G220" s="16"/>
    </row>
    <row r="221" ht="15.75" customHeight="1">
      <c r="A221" s="16" t="s">
        <v>405</v>
      </c>
      <c r="B221" s="16" t="s">
        <v>497</v>
      </c>
      <c r="C221" s="16">
        <v>0.625</v>
      </c>
      <c r="D221" s="16">
        <v>5.0</v>
      </c>
      <c r="E221" s="16">
        <v>6.6</v>
      </c>
      <c r="F221" s="16">
        <f t="shared" si="1"/>
        <v>6.699</v>
      </c>
      <c r="G221" s="16"/>
    </row>
    <row r="222" ht="15.75" customHeight="1">
      <c r="A222" s="16" t="s">
        <v>405</v>
      </c>
      <c r="B222" s="16" t="s">
        <v>499</v>
      </c>
      <c r="C222" s="16">
        <v>0.75</v>
      </c>
      <c r="D222" s="16">
        <v>5.5</v>
      </c>
      <c r="E222" s="16">
        <v>9.5</v>
      </c>
      <c r="F222" s="16">
        <f t="shared" si="1"/>
        <v>9.6425</v>
      </c>
      <c r="G222" s="16"/>
    </row>
    <row r="223" ht="15.75" customHeight="1">
      <c r="A223" s="16" t="s">
        <v>405</v>
      </c>
      <c r="B223" s="16" t="s">
        <v>500</v>
      </c>
      <c r="C223" s="16">
        <v>0.75</v>
      </c>
      <c r="D223" s="16">
        <v>6.25</v>
      </c>
      <c r="E223" s="16">
        <v>13.2</v>
      </c>
      <c r="F223" s="16">
        <f t="shared" si="1"/>
        <v>13.398</v>
      </c>
      <c r="G223" s="16"/>
    </row>
    <row r="224" ht="15.75" customHeight="1">
      <c r="A224" s="16" t="s">
        <v>405</v>
      </c>
      <c r="B224" s="16" t="s">
        <v>501</v>
      </c>
      <c r="C224" s="16">
        <v>0.875</v>
      </c>
      <c r="D224" s="16">
        <v>7.75</v>
      </c>
      <c r="E224" s="16">
        <v>23.3</v>
      </c>
      <c r="F224" s="16">
        <f t="shared" si="1"/>
        <v>23.6495</v>
      </c>
      <c r="G224" s="16"/>
    </row>
    <row r="225" ht="15.75" customHeight="1">
      <c r="A225" s="16" t="s">
        <v>405</v>
      </c>
      <c r="B225" s="16" t="s">
        <v>502</v>
      </c>
      <c r="C225" s="16">
        <v>1.0</v>
      </c>
      <c r="D225" s="16">
        <v>8.5</v>
      </c>
      <c r="E225" s="16">
        <v>32.2</v>
      </c>
      <c r="F225" s="16">
        <f t="shared" si="1"/>
        <v>32.683</v>
      </c>
      <c r="G225" s="16"/>
    </row>
    <row r="226" ht="15.75" customHeight="1">
      <c r="A226" s="16" t="s">
        <v>405</v>
      </c>
      <c r="B226" s="16" t="s">
        <v>503</v>
      </c>
      <c r="C226" s="16">
        <v>1.125</v>
      </c>
      <c r="D226" s="16">
        <v>10.5</v>
      </c>
      <c r="E226" s="16">
        <v>49.8</v>
      </c>
      <c r="F226" s="16">
        <f t="shared" si="1"/>
        <v>50.547</v>
      </c>
      <c r="G226" s="16"/>
    </row>
    <row r="227" ht="15.75" customHeight="1">
      <c r="A227" s="16" t="s">
        <v>405</v>
      </c>
      <c r="B227" s="16" t="s">
        <v>504</v>
      </c>
      <c r="C227" s="16">
        <v>1.25</v>
      </c>
      <c r="D227" s="16">
        <v>12.75</v>
      </c>
      <c r="E227" s="16">
        <v>84.0</v>
      </c>
      <c r="F227" s="16">
        <f t="shared" si="1"/>
        <v>85.26</v>
      </c>
      <c r="G227" s="16"/>
    </row>
    <row r="228" ht="15.75" customHeight="1">
      <c r="A228" s="16" t="s">
        <v>405</v>
      </c>
      <c r="B228" s="16" t="s">
        <v>506</v>
      </c>
      <c r="C228" s="16">
        <v>1.25</v>
      </c>
      <c r="D228" s="16">
        <v>15.0</v>
      </c>
      <c r="E228" s="16">
        <v>103.0</v>
      </c>
      <c r="F228" s="16">
        <f t="shared" si="1"/>
        <v>104.545</v>
      </c>
      <c r="G228" s="16"/>
    </row>
    <row r="229" ht="15.75" customHeight="1">
      <c r="A229" s="16" t="s">
        <v>405</v>
      </c>
      <c r="B229" s="16" t="s">
        <v>507</v>
      </c>
      <c r="C229" s="16">
        <v>1.375</v>
      </c>
      <c r="D229" s="16">
        <v>16.25</v>
      </c>
      <c r="E229" s="16">
        <v>130.0</v>
      </c>
      <c r="F229" s="16">
        <f t="shared" si="1"/>
        <v>131.95</v>
      </c>
      <c r="G229" s="16"/>
    </row>
    <row r="230" ht="15.75" customHeight="1">
      <c r="A230" s="16" t="s">
        <v>405</v>
      </c>
      <c r="B230" s="16" t="s">
        <v>508</v>
      </c>
      <c r="C230" s="16">
        <v>1.5</v>
      </c>
      <c r="D230" s="16">
        <v>18.5</v>
      </c>
      <c r="E230" s="16">
        <v>167.0</v>
      </c>
      <c r="F230" s="16">
        <f t="shared" si="1"/>
        <v>169.505</v>
      </c>
      <c r="G230" s="16"/>
    </row>
    <row r="231" ht="15.75" customHeight="1">
      <c r="A231" s="16" t="s">
        <v>405</v>
      </c>
      <c r="B231" s="16" t="s">
        <v>509</v>
      </c>
      <c r="C231" s="16">
        <v>1.75</v>
      </c>
      <c r="D231" s="16">
        <v>21.0</v>
      </c>
      <c r="E231" s="16">
        <v>230.0</v>
      </c>
      <c r="F231" s="16">
        <f t="shared" si="1"/>
        <v>233.45</v>
      </c>
      <c r="G231" s="16"/>
    </row>
    <row r="232" ht="15.75" customHeight="1">
      <c r="A232" s="16" t="s">
        <v>405</v>
      </c>
      <c r="B232" s="16" t="s">
        <v>511</v>
      </c>
      <c r="C232" s="16">
        <v>1.75</v>
      </c>
      <c r="D232" s="16">
        <v>23.0</v>
      </c>
      <c r="E232" s="16">
        <v>268.0</v>
      </c>
      <c r="F232" s="16">
        <f t="shared" si="1"/>
        <v>272.02</v>
      </c>
      <c r="G232" s="16"/>
    </row>
    <row r="233" ht="15.75" customHeight="1">
      <c r="A233" s="16" t="s">
        <v>405</v>
      </c>
      <c r="B233" s="16" t="s">
        <v>512</v>
      </c>
      <c r="C233" s="16">
        <v>2.0</v>
      </c>
      <c r="D233" s="16">
        <v>27.25</v>
      </c>
      <c r="E233" s="16">
        <v>438.0</v>
      </c>
      <c r="F233" s="16">
        <f t="shared" si="1"/>
        <v>444.57</v>
      </c>
      <c r="G233" s="16"/>
    </row>
    <row r="234" ht="15.75" customHeight="1">
      <c r="A234" s="16" t="s">
        <v>415</v>
      </c>
      <c r="B234" s="16" t="s">
        <v>459</v>
      </c>
      <c r="C234" s="16">
        <v>0.5</v>
      </c>
      <c r="D234" s="16">
        <v>1.375</v>
      </c>
      <c r="E234" s="16">
        <v>0.9</v>
      </c>
      <c r="F234" s="16">
        <f t="shared" si="1"/>
        <v>0.9135</v>
      </c>
      <c r="G234" s="16"/>
    </row>
    <row r="235" ht="15.75" customHeight="1">
      <c r="A235" s="16" t="s">
        <v>415</v>
      </c>
      <c r="B235" s="16" t="s">
        <v>467</v>
      </c>
      <c r="C235" s="16">
        <v>0.5</v>
      </c>
      <c r="D235" s="16">
        <v>1.75</v>
      </c>
      <c r="E235" s="16">
        <v>1.4</v>
      </c>
      <c r="F235" s="16">
        <f t="shared" si="1"/>
        <v>1.421</v>
      </c>
      <c r="G235" s="16"/>
    </row>
    <row r="236" ht="15.75" customHeight="1">
      <c r="A236" s="16" t="s">
        <v>415</v>
      </c>
      <c r="B236" s="16" t="s">
        <v>475</v>
      </c>
      <c r="C236" s="16">
        <v>0.5</v>
      </c>
      <c r="D236" s="16">
        <v>2.125</v>
      </c>
      <c r="E236" s="16">
        <v>1.7</v>
      </c>
      <c r="F236" s="16">
        <f t="shared" si="1"/>
        <v>1.7255</v>
      </c>
      <c r="G236" s="16"/>
    </row>
    <row r="237" ht="15.75" customHeight="1">
      <c r="A237" s="16" t="s">
        <v>415</v>
      </c>
      <c r="B237" s="16" t="s">
        <v>482</v>
      </c>
      <c r="C237" s="16">
        <v>0.5</v>
      </c>
      <c r="D237" s="16">
        <v>2.5</v>
      </c>
      <c r="E237" s="16">
        <v>2.0</v>
      </c>
      <c r="F237" s="16">
        <f t="shared" si="1"/>
        <v>2.03</v>
      </c>
      <c r="G237" s="16"/>
    </row>
    <row r="238" ht="15.75" customHeight="1">
      <c r="A238" s="16" t="s">
        <v>415</v>
      </c>
      <c r="B238" s="16" t="s">
        <v>488</v>
      </c>
      <c r="C238" s="16">
        <v>0.5</v>
      </c>
      <c r="D238" s="16">
        <v>2.875</v>
      </c>
      <c r="E238" s="16">
        <v>3.0</v>
      </c>
      <c r="F238" s="16">
        <f t="shared" si="1"/>
        <v>3.045</v>
      </c>
      <c r="G238" s="16"/>
    </row>
    <row r="239" ht="15.75" customHeight="1">
      <c r="A239" s="16" t="s">
        <v>415</v>
      </c>
      <c r="B239" s="16" t="s">
        <v>489</v>
      </c>
      <c r="C239" s="16">
        <v>0.625</v>
      </c>
      <c r="D239" s="16">
        <v>3.625</v>
      </c>
      <c r="E239" s="16">
        <v>3.5</v>
      </c>
      <c r="F239" s="16">
        <f t="shared" si="1"/>
        <v>3.5525</v>
      </c>
      <c r="G239" s="16"/>
    </row>
    <row r="240" ht="15.75" customHeight="1">
      <c r="A240" s="16" t="s">
        <v>415</v>
      </c>
      <c r="B240" s="16" t="s">
        <v>493</v>
      </c>
      <c r="C240" s="16">
        <v>0.75</v>
      </c>
      <c r="D240" s="16">
        <v>4.125</v>
      </c>
      <c r="E240" s="16">
        <v>6.0</v>
      </c>
      <c r="F240" s="16">
        <f t="shared" si="1"/>
        <v>6.09</v>
      </c>
      <c r="G240" s="16"/>
    </row>
    <row r="241" ht="15.75" customHeight="1">
      <c r="A241" s="16" t="s">
        <v>415</v>
      </c>
      <c r="B241" s="16" t="s">
        <v>497</v>
      </c>
      <c r="C241" s="16">
        <v>0.75</v>
      </c>
      <c r="D241" s="16">
        <v>5.0</v>
      </c>
      <c r="E241" s="16">
        <v>7.6</v>
      </c>
      <c r="F241" s="16">
        <f t="shared" si="1"/>
        <v>7.714</v>
      </c>
      <c r="G241" s="16"/>
    </row>
    <row r="242" ht="15.75" customHeight="1">
      <c r="A242" s="16" t="s">
        <v>415</v>
      </c>
      <c r="B242" s="16" t="s">
        <v>500</v>
      </c>
      <c r="C242" s="16">
        <v>1.375</v>
      </c>
      <c r="D242" s="16">
        <v>7.0</v>
      </c>
      <c r="E242" s="16">
        <v>37.0</v>
      </c>
      <c r="F242" s="16">
        <f t="shared" si="1"/>
        <v>37.555</v>
      </c>
      <c r="G242" s="16"/>
    </row>
    <row r="243" ht="15.75" customHeight="1">
      <c r="A243" s="16" t="s">
        <v>415</v>
      </c>
      <c r="B243" s="16" t="s">
        <v>501</v>
      </c>
      <c r="C243" s="16">
        <v>1.5</v>
      </c>
      <c r="D243" s="16">
        <v>8.75</v>
      </c>
      <c r="E243" s="16">
        <v>58.0</v>
      </c>
      <c r="F243" s="16">
        <f t="shared" si="1"/>
        <v>58.87</v>
      </c>
      <c r="G243" s="16"/>
    </row>
    <row r="244" ht="15.75" customHeight="1">
      <c r="A244" s="16" t="s">
        <v>415</v>
      </c>
      <c r="B244" s="16" t="s">
        <v>502</v>
      </c>
      <c r="C244" s="16">
        <v>1.5</v>
      </c>
      <c r="D244" s="16">
        <v>10.0</v>
      </c>
      <c r="E244" s="16">
        <v>79.0</v>
      </c>
      <c r="F244" s="16">
        <f t="shared" si="1"/>
        <v>80.185</v>
      </c>
      <c r="G244" s="16"/>
    </row>
    <row r="245" ht="15.75" customHeight="1">
      <c r="A245" s="16" t="s">
        <v>415</v>
      </c>
      <c r="B245" s="16" t="s">
        <v>503</v>
      </c>
      <c r="C245" s="16">
        <v>1.75</v>
      </c>
      <c r="D245" s="16">
        <v>12.5</v>
      </c>
      <c r="E245" s="16">
        <v>125.0</v>
      </c>
      <c r="F245" s="16">
        <f t="shared" si="1"/>
        <v>126.875</v>
      </c>
      <c r="G245" s="16"/>
    </row>
    <row r="246" ht="15.75" customHeight="1">
      <c r="A246" s="16" t="s">
        <v>415</v>
      </c>
      <c r="B246" s="16" t="s">
        <v>504</v>
      </c>
      <c r="C246" s="16">
        <v>2.0</v>
      </c>
      <c r="D246" s="16">
        <v>15.5</v>
      </c>
      <c r="E246" s="16">
        <v>212.0</v>
      </c>
      <c r="F246" s="16">
        <f t="shared" si="1"/>
        <v>215.18</v>
      </c>
      <c r="G246" s="16"/>
    </row>
    <row r="247" ht="15.75" customHeight="1">
      <c r="A247" s="16" t="s">
        <v>415</v>
      </c>
      <c r="B247" s="16" t="s">
        <v>506</v>
      </c>
      <c r="C247" s="16">
        <v>2.125</v>
      </c>
      <c r="D247" s="16">
        <v>17.75</v>
      </c>
      <c r="E247" s="16">
        <v>286.0</v>
      </c>
      <c r="F247" s="16">
        <f t="shared" si="1"/>
        <v>290.29</v>
      </c>
      <c r="G247" s="16"/>
    </row>
    <row r="248" ht="15.75" customHeight="1">
      <c r="A248" s="16" t="s">
        <v>415</v>
      </c>
      <c r="B248" s="16" t="s">
        <v>507</v>
      </c>
      <c r="C248" s="16">
        <v>2.125</v>
      </c>
      <c r="D248" s="16">
        <v>19.5</v>
      </c>
      <c r="E248" s="16">
        <v>336.0</v>
      </c>
      <c r="F248" s="16">
        <f t="shared" si="1"/>
        <v>341.04</v>
      </c>
      <c r="G248" s="16"/>
    </row>
    <row r="249" ht="15.75" customHeight="1">
      <c r="A249" s="16" t="s">
        <v>415</v>
      </c>
      <c r="B249" s="16" t="s">
        <v>508</v>
      </c>
      <c r="C249" s="16">
        <v>2.25</v>
      </c>
      <c r="D249" s="16">
        <v>21.75</v>
      </c>
      <c r="E249" s="16">
        <v>434.0</v>
      </c>
      <c r="F249" s="16">
        <f t="shared" si="1"/>
        <v>440.51</v>
      </c>
      <c r="G249" s="16"/>
    </row>
    <row r="250" ht="15.75" customHeight="1">
      <c r="A250" s="16" t="s">
        <v>415</v>
      </c>
      <c r="B250" s="16" t="s">
        <v>509</v>
      </c>
      <c r="C250" s="16">
        <v>2.5</v>
      </c>
      <c r="D250" s="16">
        <v>23.5</v>
      </c>
      <c r="E250" s="16">
        <v>566.0</v>
      </c>
      <c r="F250" s="16">
        <f t="shared" si="1"/>
        <v>574.49</v>
      </c>
      <c r="G250" s="16"/>
    </row>
    <row r="251" ht="15.75" customHeight="1">
      <c r="A251" s="16" t="s">
        <v>415</v>
      </c>
      <c r="B251" s="16" t="s">
        <v>511</v>
      </c>
      <c r="C251" s="16">
        <v>2.75</v>
      </c>
      <c r="D251" s="16">
        <v>25.75</v>
      </c>
      <c r="E251" s="16">
        <v>738.0</v>
      </c>
      <c r="F251" s="16">
        <f t="shared" si="1"/>
        <v>749.07</v>
      </c>
      <c r="G251" s="16"/>
    </row>
    <row r="252" ht="15.75" customHeight="1">
      <c r="A252" s="16" t="s">
        <v>415</v>
      </c>
      <c r="B252" s="16" t="s">
        <v>512</v>
      </c>
      <c r="C252" s="16">
        <v>3.25</v>
      </c>
      <c r="D252" s="16">
        <v>30.5</v>
      </c>
      <c r="E252" s="16">
        <v>1260.0</v>
      </c>
      <c r="F252" s="16">
        <f t="shared" si="1"/>
        <v>1278.9</v>
      </c>
      <c r="G252" s="16"/>
    </row>
    <row r="253" ht="15.75" customHeight="1">
      <c r="A253" s="16" t="s">
        <v>424</v>
      </c>
      <c r="B253" s="16" t="s">
        <v>459</v>
      </c>
      <c r="C253" s="16">
        <v>0.5</v>
      </c>
      <c r="D253" s="16">
        <v>1.375</v>
      </c>
      <c r="E253" s="16">
        <v>0.9</v>
      </c>
      <c r="F253" s="16">
        <f t="shared" si="1"/>
        <v>0.9135</v>
      </c>
      <c r="G253" s="16"/>
    </row>
    <row r="254" ht="15.75" customHeight="1">
      <c r="A254" s="16" t="s">
        <v>424</v>
      </c>
      <c r="B254" s="16" t="s">
        <v>467</v>
      </c>
      <c r="C254" s="16">
        <v>0.5</v>
      </c>
      <c r="D254" s="16">
        <v>1.75</v>
      </c>
      <c r="E254" s="16">
        <v>1.4</v>
      </c>
      <c r="F254" s="16">
        <f t="shared" si="1"/>
        <v>1.421</v>
      </c>
      <c r="G254" s="16"/>
    </row>
    <row r="255" ht="15.75" customHeight="1">
      <c r="A255" s="16" t="s">
        <v>424</v>
      </c>
      <c r="B255" s="16" t="s">
        <v>475</v>
      </c>
      <c r="C255" s="16">
        <v>0.5</v>
      </c>
      <c r="D255" s="16">
        <v>2.125</v>
      </c>
      <c r="E255" s="16">
        <v>1.7</v>
      </c>
      <c r="F255" s="16">
        <f t="shared" si="1"/>
        <v>1.7255</v>
      </c>
      <c r="G255" s="16"/>
    </row>
    <row r="256" ht="15.75" customHeight="1">
      <c r="A256" s="16" t="s">
        <v>424</v>
      </c>
      <c r="B256" s="16" t="s">
        <v>482</v>
      </c>
      <c r="C256" s="16">
        <v>0.5</v>
      </c>
      <c r="D256" s="16">
        <v>2.5</v>
      </c>
      <c r="E256" s="16">
        <v>2.0</v>
      </c>
      <c r="F256" s="16">
        <f t="shared" si="1"/>
        <v>2.03</v>
      </c>
      <c r="G256" s="16"/>
    </row>
    <row r="257" ht="15.75" customHeight="1">
      <c r="A257" s="16" t="s">
        <v>424</v>
      </c>
      <c r="B257" s="16" t="s">
        <v>488</v>
      </c>
      <c r="C257" s="16">
        <v>0.5</v>
      </c>
      <c r="D257" s="16">
        <v>2.875</v>
      </c>
      <c r="E257" s="16">
        <v>3.0</v>
      </c>
      <c r="F257" s="16">
        <f t="shared" si="1"/>
        <v>3.045</v>
      </c>
      <c r="G257" s="16"/>
    </row>
    <row r="258" ht="15.75" customHeight="1">
      <c r="A258" s="16" t="s">
        <v>424</v>
      </c>
      <c r="B258" s="16" t="s">
        <v>489</v>
      </c>
      <c r="C258" s="16">
        <v>0.625</v>
      </c>
      <c r="D258" s="16">
        <v>3.625</v>
      </c>
      <c r="E258" s="16">
        <v>3.5</v>
      </c>
      <c r="F258" s="16">
        <f t="shared" si="1"/>
        <v>3.5525</v>
      </c>
      <c r="G258" s="16"/>
    </row>
    <row r="259" ht="15.75" customHeight="1">
      <c r="A259" s="16" t="s">
        <v>424</v>
      </c>
      <c r="B259" s="16" t="s">
        <v>493</v>
      </c>
      <c r="C259" s="16">
        <v>0.75</v>
      </c>
      <c r="D259" s="16">
        <v>4.125</v>
      </c>
      <c r="E259" s="16">
        <v>6.0</v>
      </c>
      <c r="F259" s="16">
        <f t="shared" si="1"/>
        <v>6.09</v>
      </c>
      <c r="G259" s="16"/>
    </row>
    <row r="260" ht="15.75" customHeight="1">
      <c r="A260" s="16" t="s">
        <v>424</v>
      </c>
      <c r="B260" s="16" t="s">
        <v>497</v>
      </c>
      <c r="C260" s="16">
        <v>1.0</v>
      </c>
      <c r="D260" s="16">
        <v>5.0</v>
      </c>
      <c r="E260" s="16">
        <v>13.5</v>
      </c>
      <c r="F260" s="16">
        <f t="shared" si="1"/>
        <v>13.7025</v>
      </c>
      <c r="G260" s="16"/>
    </row>
    <row r="261" ht="15.75" customHeight="1">
      <c r="A261" s="16" t="s">
        <v>424</v>
      </c>
      <c r="B261" s="16" t="s">
        <v>500</v>
      </c>
      <c r="C261" s="16">
        <v>1.25</v>
      </c>
      <c r="D261" s="16">
        <v>7.0</v>
      </c>
      <c r="E261" s="16">
        <v>36.0</v>
      </c>
      <c r="F261" s="16">
        <f t="shared" si="1"/>
        <v>36.54</v>
      </c>
      <c r="G261" s="16"/>
    </row>
    <row r="262" ht="15.75" customHeight="1">
      <c r="A262" s="16" t="s">
        <v>424</v>
      </c>
      <c r="B262" s="16" t="s">
        <v>501</v>
      </c>
      <c r="C262" s="16">
        <v>1.5</v>
      </c>
      <c r="D262" s="16">
        <v>8.75</v>
      </c>
      <c r="E262" s="16">
        <v>58.0</v>
      </c>
      <c r="F262" s="16">
        <f t="shared" si="1"/>
        <v>58.87</v>
      </c>
      <c r="G262" s="16"/>
    </row>
    <row r="263" ht="15.75" customHeight="1">
      <c r="A263" s="16" t="s">
        <v>424</v>
      </c>
      <c r="B263" s="16" t="s">
        <v>502</v>
      </c>
      <c r="C263" s="16">
        <v>1.75</v>
      </c>
      <c r="D263" s="16">
        <v>10.0</v>
      </c>
      <c r="E263" s="16">
        <v>94.0</v>
      </c>
      <c r="F263" s="16">
        <f t="shared" si="1"/>
        <v>95.41</v>
      </c>
      <c r="G263" s="16"/>
    </row>
    <row r="264" ht="15.75" customHeight="1">
      <c r="A264" s="16" t="s">
        <v>424</v>
      </c>
      <c r="B264" s="16" t="s">
        <v>503</v>
      </c>
      <c r="C264" s="16">
        <v>2.0</v>
      </c>
      <c r="D264" s="16">
        <v>12.5</v>
      </c>
      <c r="E264" s="16">
        <v>154.0</v>
      </c>
      <c r="F264" s="16">
        <f t="shared" si="1"/>
        <v>156.31</v>
      </c>
      <c r="G264" s="16"/>
    </row>
    <row r="265" ht="15.75" customHeight="1">
      <c r="A265" s="16" t="s">
        <v>424</v>
      </c>
      <c r="B265" s="16" t="s">
        <v>504</v>
      </c>
      <c r="C265" s="16">
        <v>2.375</v>
      </c>
      <c r="D265" s="16">
        <v>15.5</v>
      </c>
      <c r="E265" s="16">
        <v>290.0</v>
      </c>
      <c r="F265" s="16">
        <f t="shared" si="1"/>
        <v>294.35</v>
      </c>
      <c r="G265" s="16"/>
    </row>
    <row r="266" ht="15.75" customHeight="1">
      <c r="A266" s="16" t="s">
        <v>424</v>
      </c>
      <c r="B266" s="16" t="s">
        <v>506</v>
      </c>
      <c r="C266" s="16">
        <v>2.625</v>
      </c>
      <c r="D266" s="16">
        <v>17.75</v>
      </c>
      <c r="E266" s="16">
        <v>425.0</v>
      </c>
      <c r="F266" s="16">
        <f t="shared" si="1"/>
        <v>431.375</v>
      </c>
      <c r="G266" s="16"/>
    </row>
    <row r="267" ht="15.75" customHeight="1">
      <c r="A267" s="16" t="s">
        <v>424</v>
      </c>
      <c r="B267" s="16" t="s">
        <v>507</v>
      </c>
      <c r="C267" s="16">
        <v>2.75</v>
      </c>
      <c r="D267" s="16">
        <v>19.5</v>
      </c>
      <c r="E267" s="16">
        <v>516.0</v>
      </c>
      <c r="F267" s="16">
        <f t="shared" si="1"/>
        <v>523.74</v>
      </c>
      <c r="G267" s="16"/>
    </row>
    <row r="268" ht="15.75" customHeight="1">
      <c r="A268" s="16" t="s">
        <v>424</v>
      </c>
      <c r="B268" s="16" t="s">
        <v>508</v>
      </c>
      <c r="C268" s="16">
        <v>3.0</v>
      </c>
      <c r="D268" s="16">
        <v>21.75</v>
      </c>
      <c r="E268" s="16">
        <v>697.0</v>
      </c>
      <c r="F268" s="16">
        <f t="shared" si="1"/>
        <v>707.455</v>
      </c>
      <c r="G268" s="16"/>
    </row>
    <row r="269" ht="15.75" customHeight="1">
      <c r="A269" s="16" t="s">
        <v>424</v>
      </c>
      <c r="B269" s="16" t="s">
        <v>509</v>
      </c>
      <c r="C269" s="16">
        <v>3.25</v>
      </c>
      <c r="D269" s="16">
        <v>23.5</v>
      </c>
      <c r="E269" s="16">
        <v>907.0</v>
      </c>
      <c r="F269" s="16">
        <f t="shared" si="1"/>
        <v>920.605</v>
      </c>
      <c r="G269" s="16"/>
    </row>
    <row r="270" ht="15.75" customHeight="1">
      <c r="A270" s="16" t="s">
        <v>424</v>
      </c>
      <c r="B270" s="16" t="s">
        <v>511</v>
      </c>
      <c r="C270" s="16">
        <v>3.5</v>
      </c>
      <c r="D270" s="16">
        <v>25.75</v>
      </c>
      <c r="E270" s="16">
        <v>1155.0</v>
      </c>
      <c r="F270" s="16">
        <f t="shared" si="1"/>
        <v>1172.325</v>
      </c>
      <c r="G270" s="16"/>
    </row>
    <row r="271" ht="15.75" customHeight="1">
      <c r="A271" s="16" t="s">
        <v>424</v>
      </c>
      <c r="B271" s="16" t="s">
        <v>512</v>
      </c>
      <c r="C271" s="16">
        <v>4.0</v>
      </c>
      <c r="D271" s="16">
        <v>30.5</v>
      </c>
      <c r="E271" s="16">
        <v>1840.0</v>
      </c>
      <c r="F271" s="16">
        <f t="shared" si="1"/>
        <v>1867.6</v>
      </c>
      <c r="G271" s="16"/>
    </row>
    <row r="272" ht="15.75" customHeight="1">
      <c r="A272" s="16" t="s">
        <v>432</v>
      </c>
      <c r="B272" s="16" t="s">
        <v>459</v>
      </c>
      <c r="C272" s="16">
        <v>0.75</v>
      </c>
      <c r="D272" s="16">
        <v>1.75</v>
      </c>
      <c r="E272" s="16">
        <v>2.1</v>
      </c>
      <c r="F272" s="16">
        <f t="shared" si="1"/>
        <v>2.1315</v>
      </c>
      <c r="G272" s="16"/>
    </row>
    <row r="273" ht="15.75" customHeight="1">
      <c r="A273" s="16" t="s">
        <v>432</v>
      </c>
      <c r="B273" s="16" t="s">
        <v>467</v>
      </c>
      <c r="C273" s="16">
        <v>0.75</v>
      </c>
      <c r="D273" s="16">
        <v>2.25</v>
      </c>
      <c r="E273" s="16">
        <v>2.7</v>
      </c>
      <c r="F273" s="16">
        <f t="shared" si="1"/>
        <v>2.7405</v>
      </c>
      <c r="G273" s="16"/>
    </row>
    <row r="274" ht="15.75" customHeight="1">
      <c r="A274" s="16" t="s">
        <v>432</v>
      </c>
      <c r="B274" s="16" t="s">
        <v>475</v>
      </c>
      <c r="C274" s="16">
        <v>0.875</v>
      </c>
      <c r="D274" s="16">
        <v>2.5</v>
      </c>
      <c r="E274" s="16">
        <v>3.9</v>
      </c>
      <c r="F274" s="16">
        <f t="shared" si="1"/>
        <v>3.9585</v>
      </c>
      <c r="G274" s="16"/>
    </row>
    <row r="275" ht="15.75" customHeight="1">
      <c r="A275" s="16" t="s">
        <v>432</v>
      </c>
      <c r="B275" s="16" t="s">
        <v>482</v>
      </c>
      <c r="C275" s="16">
        <v>0.875</v>
      </c>
      <c r="D275" s="16">
        <v>2.75</v>
      </c>
      <c r="E275" s="16">
        <v>4.5</v>
      </c>
      <c r="F275" s="16">
        <f t="shared" si="1"/>
        <v>4.5675</v>
      </c>
      <c r="G275" s="16"/>
    </row>
    <row r="276" ht="15.75" customHeight="1">
      <c r="A276" s="16" t="s">
        <v>432</v>
      </c>
      <c r="B276" s="16" t="s">
        <v>488</v>
      </c>
      <c r="C276" s="16">
        <v>1.0</v>
      </c>
      <c r="D276" s="16">
        <v>3.25</v>
      </c>
      <c r="E276" s="16">
        <v>6.4</v>
      </c>
      <c r="F276" s="16">
        <f t="shared" si="1"/>
        <v>6.496</v>
      </c>
      <c r="G276" s="16"/>
    </row>
    <row r="277" ht="15.75" customHeight="1">
      <c r="A277" s="16" t="s">
        <v>432</v>
      </c>
      <c r="B277" s="16" t="s">
        <v>489</v>
      </c>
      <c r="C277" s="16">
        <v>1.0</v>
      </c>
      <c r="D277" s="16">
        <v>4.25</v>
      </c>
      <c r="E277" s="16">
        <v>9.5</v>
      </c>
      <c r="F277" s="16">
        <f t="shared" si="1"/>
        <v>9.6425</v>
      </c>
      <c r="G277" s="16"/>
    </row>
    <row r="278" ht="15.75" customHeight="1">
      <c r="A278" s="16" t="s">
        <v>432</v>
      </c>
      <c r="B278" s="16" t="s">
        <v>493</v>
      </c>
      <c r="C278" s="16">
        <v>1.125</v>
      </c>
      <c r="D278" s="16">
        <v>5.0</v>
      </c>
      <c r="E278" s="16">
        <v>14.4</v>
      </c>
      <c r="F278" s="16">
        <f t="shared" si="1"/>
        <v>14.616</v>
      </c>
      <c r="G278" s="16"/>
    </row>
    <row r="279" ht="15.75" customHeight="1">
      <c r="A279" s="16" t="s">
        <v>432</v>
      </c>
      <c r="B279" s="16" t="s">
        <v>497</v>
      </c>
      <c r="C279" s="16">
        <v>1.25</v>
      </c>
      <c r="D279" s="16">
        <v>5.75</v>
      </c>
      <c r="E279" s="16">
        <v>19.4</v>
      </c>
      <c r="F279" s="16">
        <f t="shared" si="1"/>
        <v>19.691</v>
      </c>
      <c r="G279" s="16"/>
    </row>
    <row r="280" ht="15.75" customHeight="1">
      <c r="A280" s="16" t="s">
        <v>432</v>
      </c>
      <c r="B280" s="16" t="s">
        <v>500</v>
      </c>
      <c r="C280" s="16">
        <v>1.5</v>
      </c>
      <c r="D280" s="16">
        <v>7.0</v>
      </c>
      <c r="E280" s="16">
        <v>32.0</v>
      </c>
      <c r="F280" s="16">
        <f t="shared" si="1"/>
        <v>32.48</v>
      </c>
      <c r="G280" s="16"/>
    </row>
    <row r="281" ht="15.75" customHeight="1">
      <c r="A281" s="16" t="s">
        <v>432</v>
      </c>
      <c r="B281" s="16" t="s">
        <v>501</v>
      </c>
      <c r="C281" s="16">
        <v>1.75</v>
      </c>
      <c r="D281" s="16">
        <v>9.0</v>
      </c>
      <c r="E281" s="16">
        <v>63.0</v>
      </c>
      <c r="F281" s="16">
        <f t="shared" si="1"/>
        <v>63.945</v>
      </c>
      <c r="G281" s="16"/>
    </row>
    <row r="282" ht="15.75" customHeight="1">
      <c r="A282" s="16" t="s">
        <v>432</v>
      </c>
      <c r="B282" s="16" t="s">
        <v>502</v>
      </c>
      <c r="C282" s="16">
        <v>2.0</v>
      </c>
      <c r="D282" s="16">
        <v>10.0</v>
      </c>
      <c r="E282" s="16">
        <v>104.0</v>
      </c>
      <c r="F282" s="16">
        <f t="shared" si="1"/>
        <v>105.56</v>
      </c>
      <c r="G282" s="16"/>
    </row>
    <row r="283" ht="15.75" customHeight="1">
      <c r="A283" s="16" t="s">
        <v>432</v>
      </c>
      <c r="B283" s="16" t="s">
        <v>503</v>
      </c>
      <c r="C283" s="16">
        <v>2.25</v>
      </c>
      <c r="D283" s="16">
        <v>12.5</v>
      </c>
      <c r="E283" s="16">
        <v>153.0</v>
      </c>
      <c r="F283" s="16">
        <f t="shared" si="1"/>
        <v>155.295</v>
      </c>
      <c r="G283" s="16"/>
    </row>
    <row r="284" ht="15.75" customHeight="1">
      <c r="A284" s="16" t="s">
        <v>432</v>
      </c>
      <c r="B284" s="16" t="s">
        <v>504</v>
      </c>
      <c r="C284" s="16">
        <v>2.75</v>
      </c>
      <c r="D284" s="16">
        <v>15.5</v>
      </c>
      <c r="E284" s="16">
        <v>286.0</v>
      </c>
      <c r="F284" s="16">
        <f t="shared" si="1"/>
        <v>290.29</v>
      </c>
      <c r="G284" s="16"/>
    </row>
    <row r="285" ht="15.75" customHeight="1">
      <c r="A285" s="16" t="s">
        <v>432</v>
      </c>
      <c r="B285" s="16" t="s">
        <v>506</v>
      </c>
      <c r="C285" s="16">
        <v>3.125</v>
      </c>
      <c r="D285" s="16">
        <v>17.75</v>
      </c>
      <c r="E285" s="16">
        <v>410.0</v>
      </c>
      <c r="F285" s="16">
        <f t="shared" si="1"/>
        <v>416.15</v>
      </c>
      <c r="G285" s="16"/>
    </row>
    <row r="286" ht="15.75" customHeight="1"/>
    <row r="287" ht="15.75" customHeight="1">
      <c r="A287" s="27" t="s">
        <v>710</v>
      </c>
    </row>
    <row r="288" ht="15.75" customHeight="1"/>
    <row r="289" ht="32.25" customHeight="1">
      <c r="A289" s="27" t="s">
        <v>711</v>
      </c>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289:G28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6.0"/>
    <col customWidth="1" min="2" max="2" width="16.0"/>
    <col customWidth="1" min="3" max="3" width="22.0"/>
    <col customWidth="1" min="4" max="5" width="46.0"/>
    <col customWidth="1" min="6" max="6" width="50.0"/>
    <col customWidth="1" min="7" max="26" width="8.71"/>
  </cols>
  <sheetData>
    <row r="1" ht="30.0" customHeight="1">
      <c r="A1" s="3" t="s">
        <v>332</v>
      </c>
      <c r="B1" s="5"/>
      <c r="C1" s="5"/>
      <c r="D1" s="5"/>
      <c r="E1" s="5"/>
      <c r="F1" s="7"/>
    </row>
    <row r="2" ht="19.5" customHeight="1">
      <c r="A2" s="2" t="s">
        <v>334</v>
      </c>
    </row>
    <row r="4" ht="24.0" customHeight="1">
      <c r="A4" s="8" t="s">
        <v>336</v>
      </c>
      <c r="B4" s="8" t="s">
        <v>337</v>
      </c>
      <c r="C4" s="8" t="s">
        <v>338</v>
      </c>
      <c r="D4" s="8" t="s">
        <v>340</v>
      </c>
      <c r="E4" s="8" t="s">
        <v>341</v>
      </c>
      <c r="F4" s="8" t="s">
        <v>342</v>
      </c>
    </row>
    <row r="5" ht="94.5" customHeight="1">
      <c r="A5" s="16" t="s">
        <v>343</v>
      </c>
      <c r="B5" s="16" t="s">
        <v>345</v>
      </c>
      <c r="C5" s="16" t="s">
        <v>346</v>
      </c>
      <c r="D5" s="16" t="s">
        <v>348</v>
      </c>
      <c r="E5" s="16" t="s">
        <v>350</v>
      </c>
      <c r="F5" s="16" t="s">
        <v>352</v>
      </c>
    </row>
    <row r="6" ht="94.5" customHeight="1">
      <c r="A6" s="16" t="s">
        <v>355</v>
      </c>
      <c r="B6" s="16" t="s">
        <v>356</v>
      </c>
      <c r="C6" s="16" t="s">
        <v>358</v>
      </c>
      <c r="D6" s="16" t="s">
        <v>360</v>
      </c>
      <c r="E6" s="16" t="s">
        <v>362</v>
      </c>
      <c r="F6" s="16" t="s">
        <v>364</v>
      </c>
    </row>
    <row r="7" ht="94.5" customHeight="1">
      <c r="A7" s="16" t="s">
        <v>366</v>
      </c>
      <c r="B7" s="16" t="s">
        <v>367</v>
      </c>
      <c r="C7" s="16" t="s">
        <v>368</v>
      </c>
      <c r="D7" s="16" t="s">
        <v>369</v>
      </c>
      <c r="E7" s="16" t="s">
        <v>370</v>
      </c>
      <c r="F7" s="16" t="s">
        <v>372</v>
      </c>
    </row>
    <row r="8" ht="94.5" customHeight="1">
      <c r="A8" s="16" t="s">
        <v>375</v>
      </c>
      <c r="B8" s="16" t="s">
        <v>376</v>
      </c>
      <c r="C8" s="16" t="s">
        <v>377</v>
      </c>
      <c r="D8" s="16" t="s">
        <v>380</v>
      </c>
      <c r="E8" s="16" t="s">
        <v>381</v>
      </c>
      <c r="F8" s="16" t="s">
        <v>383</v>
      </c>
    </row>
    <row r="9" ht="94.5" customHeight="1">
      <c r="A9" s="16" t="s">
        <v>385</v>
      </c>
      <c r="B9" s="16" t="s">
        <v>388</v>
      </c>
      <c r="C9" s="16" t="s">
        <v>389</v>
      </c>
      <c r="D9" s="16" t="s">
        <v>390</v>
      </c>
      <c r="E9" s="16" t="s">
        <v>392</v>
      </c>
      <c r="F9" s="16" t="s">
        <v>395</v>
      </c>
    </row>
    <row r="10" ht="94.5" customHeight="1">
      <c r="A10" s="16" t="s">
        <v>396</v>
      </c>
      <c r="B10" s="16" t="s">
        <v>398</v>
      </c>
      <c r="C10" s="16" t="s">
        <v>400</v>
      </c>
      <c r="D10" s="16" t="s">
        <v>402</v>
      </c>
      <c r="E10" s="16" t="s">
        <v>403</v>
      </c>
      <c r="F10" s="16" t="s">
        <v>404</v>
      </c>
    </row>
    <row r="11" ht="94.5" customHeight="1">
      <c r="A11" s="16" t="s">
        <v>406</v>
      </c>
      <c r="B11" s="16" t="s">
        <v>408</v>
      </c>
      <c r="C11" s="16" t="s">
        <v>410</v>
      </c>
      <c r="D11" s="16" t="s">
        <v>412</v>
      </c>
      <c r="E11" s="16" t="s">
        <v>413</v>
      </c>
      <c r="F11" s="16" t="s">
        <v>414</v>
      </c>
    </row>
    <row r="12" ht="94.5" customHeight="1">
      <c r="A12" s="16" t="s">
        <v>417</v>
      </c>
      <c r="B12" s="16" t="s">
        <v>419</v>
      </c>
      <c r="C12" s="16" t="s">
        <v>420</v>
      </c>
      <c r="D12" s="16" t="s">
        <v>422</v>
      </c>
      <c r="E12" s="16" t="s">
        <v>425</v>
      </c>
      <c r="F12" s="16" t="s">
        <v>429</v>
      </c>
    </row>
    <row r="13" ht="94.5" customHeight="1">
      <c r="A13" s="16" t="s">
        <v>431</v>
      </c>
      <c r="B13" s="16" t="s">
        <v>433</v>
      </c>
      <c r="C13" s="16" t="s">
        <v>435</v>
      </c>
      <c r="D13" s="16" t="s">
        <v>438</v>
      </c>
      <c r="E13" s="16" t="s">
        <v>440</v>
      </c>
      <c r="F13" s="16" t="s">
        <v>441</v>
      </c>
    </row>
    <row r="14" ht="94.5" customHeight="1">
      <c r="A14" s="16" t="s">
        <v>443</v>
      </c>
      <c r="B14" s="16" t="s">
        <v>444</v>
      </c>
      <c r="C14" s="16" t="s">
        <v>447</v>
      </c>
      <c r="D14" s="16" t="s">
        <v>451</v>
      </c>
      <c r="E14" s="16" t="s">
        <v>454</v>
      </c>
      <c r="F14" s="16" t="s">
        <v>457</v>
      </c>
    </row>
    <row r="15" ht="94.5" customHeight="1">
      <c r="A15" s="16" t="s">
        <v>460</v>
      </c>
      <c r="B15" s="16" t="s">
        <v>462</v>
      </c>
      <c r="C15" s="16" t="s">
        <v>464</v>
      </c>
      <c r="D15" s="16" t="s">
        <v>465</v>
      </c>
      <c r="E15" s="16" t="s">
        <v>466</v>
      </c>
      <c r="F15" s="16" t="s">
        <v>468</v>
      </c>
    </row>
    <row r="16" ht="94.5" customHeight="1">
      <c r="A16" s="16" t="s">
        <v>469</v>
      </c>
      <c r="B16" s="16" t="s">
        <v>470</v>
      </c>
      <c r="C16" s="16" t="s">
        <v>471</v>
      </c>
      <c r="D16" s="16" t="s">
        <v>473</v>
      </c>
      <c r="E16" s="16" t="s">
        <v>476</v>
      </c>
      <c r="F16" s="16" t="s">
        <v>477</v>
      </c>
    </row>
    <row r="17" ht="94.5" customHeight="1">
      <c r="A17" s="16" t="s">
        <v>479</v>
      </c>
      <c r="B17" s="16" t="s">
        <v>480</v>
      </c>
      <c r="C17" s="16" t="s">
        <v>471</v>
      </c>
      <c r="D17" s="16" t="s">
        <v>483</v>
      </c>
      <c r="E17" s="16" t="s">
        <v>484</v>
      </c>
      <c r="F17" s="16" t="s">
        <v>485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40.0"/>
    <col customWidth="1" min="3" max="3" width="90.0"/>
    <col customWidth="1" min="4" max="26" width="8.71"/>
  </cols>
  <sheetData>
    <row r="1" ht="30.0" customHeight="1">
      <c r="A1" s="3" t="s">
        <v>513</v>
      </c>
      <c r="B1" s="5"/>
      <c r="C1" s="7"/>
    </row>
    <row r="2" ht="19.5" customHeight="1">
      <c r="A2" s="2" t="s">
        <v>514</v>
      </c>
    </row>
    <row r="4" ht="31.5" customHeight="1">
      <c r="A4" s="8" t="s">
        <v>515</v>
      </c>
      <c r="B4" s="8" t="s">
        <v>516</v>
      </c>
      <c r="C4" s="8" t="s">
        <v>517</v>
      </c>
    </row>
    <row r="5" ht="319.5" customHeight="1">
      <c r="A5" s="12" t="s">
        <v>518</v>
      </c>
      <c r="B5" s="12" t="s">
        <v>519</v>
      </c>
      <c r="C5" s="18" t="s">
        <v>520</v>
      </c>
    </row>
    <row r="6" ht="319.5" customHeight="1">
      <c r="A6" s="12" t="s">
        <v>521</v>
      </c>
      <c r="B6" s="12" t="s">
        <v>522</v>
      </c>
      <c r="C6" s="18" t="s">
        <v>523</v>
      </c>
    </row>
    <row r="7" ht="319.5" customHeight="1">
      <c r="A7" s="12" t="s">
        <v>524</v>
      </c>
      <c r="B7" s="12" t="s">
        <v>525</v>
      </c>
      <c r="C7" s="18" t="s">
        <v>526</v>
      </c>
    </row>
    <row r="8" ht="319.5" customHeight="1">
      <c r="A8" s="12" t="s">
        <v>527</v>
      </c>
      <c r="B8" s="12" t="s">
        <v>528</v>
      </c>
      <c r="C8" s="18" t="s">
        <v>529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0"/>
    <col customWidth="1" min="2" max="3" width="28.0"/>
    <col customWidth="1" min="4" max="4" width="40.0"/>
    <col customWidth="1" min="5" max="5" width="12.0"/>
    <col customWidth="1" min="6" max="26" width="8.71"/>
  </cols>
  <sheetData>
    <row r="1" ht="30.0" customHeight="1">
      <c r="A1" s="3" t="s">
        <v>532</v>
      </c>
      <c r="B1" s="5"/>
      <c r="C1" s="5"/>
      <c r="D1" s="5"/>
      <c r="E1" s="7"/>
    </row>
    <row r="2" ht="19.5" customHeight="1">
      <c r="A2" s="2" t="s">
        <v>533</v>
      </c>
    </row>
    <row r="4" ht="31.5" customHeight="1">
      <c r="A4" s="8" t="s">
        <v>10</v>
      </c>
      <c r="B4" s="8" t="s">
        <v>534</v>
      </c>
      <c r="C4" s="8" t="s">
        <v>535</v>
      </c>
      <c r="D4" s="8" t="s">
        <v>536</v>
      </c>
      <c r="E4" s="8" t="s">
        <v>537</v>
      </c>
    </row>
    <row r="5">
      <c r="A5" s="12">
        <v>1.0</v>
      </c>
      <c r="B5" s="12" t="s">
        <v>31</v>
      </c>
      <c r="C5" s="12" t="s">
        <v>42</v>
      </c>
      <c r="D5" s="12" t="s">
        <v>42</v>
      </c>
      <c r="E5" s="12" t="s">
        <v>538</v>
      </c>
    </row>
    <row r="6">
      <c r="A6" s="19">
        <v>2.0</v>
      </c>
      <c r="B6" s="19" t="s">
        <v>31</v>
      </c>
      <c r="C6" s="19" t="s">
        <v>540</v>
      </c>
      <c r="D6" s="19" t="s">
        <v>541</v>
      </c>
      <c r="E6" s="19" t="s">
        <v>542</v>
      </c>
    </row>
    <row r="7">
      <c r="A7" s="19">
        <v>3.0</v>
      </c>
      <c r="B7" s="19" t="s">
        <v>31</v>
      </c>
      <c r="C7" s="19" t="s">
        <v>543</v>
      </c>
      <c r="D7" s="19" t="s">
        <v>544</v>
      </c>
      <c r="E7" s="19" t="s">
        <v>542</v>
      </c>
    </row>
    <row r="8">
      <c r="A8" s="12">
        <v>4.0</v>
      </c>
      <c r="B8" s="12" t="s">
        <v>42</v>
      </c>
      <c r="C8" s="12" t="s">
        <v>31</v>
      </c>
      <c r="D8" s="12" t="s">
        <v>31</v>
      </c>
      <c r="E8" s="12" t="s">
        <v>538</v>
      </c>
    </row>
    <row r="9">
      <c r="A9" s="12">
        <v>5.0</v>
      </c>
      <c r="B9" s="12" t="s">
        <v>42</v>
      </c>
      <c r="C9" s="12" t="s">
        <v>90</v>
      </c>
      <c r="D9" s="12" t="s">
        <v>90</v>
      </c>
      <c r="E9" s="12" t="s">
        <v>538</v>
      </c>
    </row>
    <row r="10">
      <c r="A10" s="19">
        <v>6.0</v>
      </c>
      <c r="B10" s="19" t="s">
        <v>42</v>
      </c>
      <c r="C10" s="19" t="s">
        <v>540</v>
      </c>
      <c r="D10" s="19" t="s">
        <v>541</v>
      </c>
      <c r="E10" s="19" t="s">
        <v>542</v>
      </c>
    </row>
    <row r="11">
      <c r="A11" s="19">
        <v>7.0</v>
      </c>
      <c r="B11" s="19" t="s">
        <v>42</v>
      </c>
      <c r="C11" s="19" t="s">
        <v>546</v>
      </c>
      <c r="D11" s="19" t="s">
        <v>547</v>
      </c>
      <c r="E11" s="19" t="s">
        <v>542</v>
      </c>
    </row>
    <row r="12">
      <c r="A12" s="12">
        <v>8.0</v>
      </c>
      <c r="B12" s="12" t="s">
        <v>50</v>
      </c>
      <c r="C12" s="12" t="s">
        <v>98</v>
      </c>
      <c r="D12" s="12" t="s">
        <v>98</v>
      </c>
      <c r="E12" s="12" t="s">
        <v>538</v>
      </c>
    </row>
    <row r="13">
      <c r="A13" s="19">
        <v>9.0</v>
      </c>
      <c r="B13" s="19" t="s">
        <v>50</v>
      </c>
      <c r="C13" s="19" t="s">
        <v>540</v>
      </c>
      <c r="D13" s="19" t="s">
        <v>541</v>
      </c>
      <c r="E13" s="19" t="s">
        <v>542</v>
      </c>
    </row>
    <row r="14">
      <c r="A14" s="19">
        <v>10.0</v>
      </c>
      <c r="B14" s="19" t="s">
        <v>50</v>
      </c>
      <c r="C14" s="19" t="s">
        <v>548</v>
      </c>
      <c r="D14" s="19" t="s">
        <v>549</v>
      </c>
      <c r="E14" s="19" t="s">
        <v>542</v>
      </c>
    </row>
    <row r="15">
      <c r="A15" s="12">
        <v>11.0</v>
      </c>
      <c r="B15" s="12" t="s">
        <v>61</v>
      </c>
      <c r="C15" s="12" t="s">
        <v>71</v>
      </c>
      <c r="D15" s="12" t="s">
        <v>71</v>
      </c>
      <c r="E15" s="12" t="s">
        <v>538</v>
      </c>
    </row>
    <row r="16">
      <c r="A16" s="19">
        <v>12.0</v>
      </c>
      <c r="B16" s="19" t="s">
        <v>61</v>
      </c>
      <c r="C16" s="19" t="s">
        <v>42</v>
      </c>
      <c r="D16" s="19" t="s">
        <v>42</v>
      </c>
      <c r="E16" s="19" t="s">
        <v>542</v>
      </c>
    </row>
    <row r="17">
      <c r="A17" s="19">
        <v>13.0</v>
      </c>
      <c r="B17" s="19" t="s">
        <v>61</v>
      </c>
      <c r="C17" s="19" t="s">
        <v>550</v>
      </c>
      <c r="D17" s="19" t="s">
        <v>551</v>
      </c>
      <c r="E17" s="19" t="s">
        <v>542</v>
      </c>
    </row>
    <row r="18">
      <c r="A18" s="12">
        <v>14.0</v>
      </c>
      <c r="B18" s="12" t="s">
        <v>71</v>
      </c>
      <c r="C18" s="12" t="s">
        <v>61</v>
      </c>
      <c r="D18" s="12" t="s">
        <v>61</v>
      </c>
      <c r="E18" s="12" t="s">
        <v>538</v>
      </c>
    </row>
    <row r="19">
      <c r="A19" s="19">
        <v>15.0</v>
      </c>
      <c r="B19" s="19" t="s">
        <v>71</v>
      </c>
      <c r="C19" s="19" t="s">
        <v>31</v>
      </c>
      <c r="D19" s="19" t="s">
        <v>31</v>
      </c>
      <c r="E19" s="19" t="s">
        <v>542</v>
      </c>
    </row>
    <row r="20">
      <c r="A20" s="19">
        <v>16.0</v>
      </c>
      <c r="B20" s="19" t="s">
        <v>71</v>
      </c>
      <c r="C20" s="19" t="s">
        <v>552</v>
      </c>
      <c r="D20" s="19" t="s">
        <v>553</v>
      </c>
      <c r="E20" s="19" t="s">
        <v>542</v>
      </c>
    </row>
    <row r="21" ht="15.75" customHeight="1">
      <c r="A21" s="19">
        <v>17.0</v>
      </c>
      <c r="B21" s="19" t="s">
        <v>79</v>
      </c>
      <c r="C21" s="19" t="s">
        <v>42</v>
      </c>
      <c r="D21" s="19" t="s">
        <v>42</v>
      </c>
      <c r="E21" s="19" t="s">
        <v>542</v>
      </c>
    </row>
    <row r="22" ht="15.75" customHeight="1">
      <c r="A22" s="19">
        <v>18.0</v>
      </c>
      <c r="B22" s="19" t="s">
        <v>79</v>
      </c>
      <c r="C22" s="19" t="s">
        <v>546</v>
      </c>
      <c r="D22" s="19" t="s">
        <v>547</v>
      </c>
      <c r="E22" s="19" t="s">
        <v>542</v>
      </c>
    </row>
    <row r="23" ht="15.75" customHeight="1">
      <c r="A23" s="19">
        <v>19.0</v>
      </c>
      <c r="B23" s="19" t="s">
        <v>79</v>
      </c>
      <c r="C23" s="19" t="s">
        <v>550</v>
      </c>
      <c r="D23" s="19" t="s">
        <v>551</v>
      </c>
      <c r="E23" s="19" t="s">
        <v>542</v>
      </c>
    </row>
    <row r="24" ht="15.75" customHeight="1">
      <c r="A24" s="12">
        <v>20.0</v>
      </c>
      <c r="B24" s="12" t="s">
        <v>90</v>
      </c>
      <c r="C24" s="12" t="s">
        <v>42</v>
      </c>
      <c r="D24" s="12" t="s">
        <v>42</v>
      </c>
      <c r="E24" s="12" t="s">
        <v>538</v>
      </c>
    </row>
    <row r="25" ht="15.75" customHeight="1">
      <c r="A25" s="19">
        <v>21.0</v>
      </c>
      <c r="B25" s="19" t="s">
        <v>90</v>
      </c>
      <c r="C25" s="19" t="s">
        <v>554</v>
      </c>
      <c r="D25" s="19" t="s">
        <v>555</v>
      </c>
      <c r="E25" s="19" t="s">
        <v>542</v>
      </c>
    </row>
    <row r="26" ht="15.75" customHeight="1">
      <c r="A26" s="12">
        <v>22.0</v>
      </c>
      <c r="B26" s="12" t="s">
        <v>98</v>
      </c>
      <c r="C26" s="12" t="s">
        <v>50</v>
      </c>
      <c r="D26" s="12" t="s">
        <v>50</v>
      </c>
      <c r="E26" s="12" t="s">
        <v>538</v>
      </c>
    </row>
    <row r="27" ht="15.75" customHeight="1">
      <c r="A27" s="19">
        <v>23.0</v>
      </c>
      <c r="B27" s="19" t="s">
        <v>98</v>
      </c>
      <c r="C27" s="19" t="s">
        <v>543</v>
      </c>
      <c r="D27" s="19" t="s">
        <v>544</v>
      </c>
      <c r="E27" s="19" t="s">
        <v>542</v>
      </c>
    </row>
    <row r="28" ht="15.75" customHeight="1">
      <c r="A28" s="19">
        <v>24.0</v>
      </c>
      <c r="B28" s="19" t="s">
        <v>49</v>
      </c>
      <c r="C28" s="19" t="s">
        <v>31</v>
      </c>
      <c r="D28" s="19" t="s">
        <v>31</v>
      </c>
      <c r="E28" s="19" t="s">
        <v>542</v>
      </c>
    </row>
    <row r="29" ht="15.75" customHeight="1">
      <c r="A29" s="19">
        <v>25.0</v>
      </c>
      <c r="B29" s="19" t="s">
        <v>49</v>
      </c>
      <c r="C29" s="19" t="s">
        <v>42</v>
      </c>
      <c r="D29" s="19" t="s">
        <v>42</v>
      </c>
      <c r="E29" s="19" t="s">
        <v>542</v>
      </c>
    </row>
    <row r="30" ht="15.75" customHeight="1">
      <c r="A30" s="19">
        <v>26.0</v>
      </c>
      <c r="B30" s="19" t="s">
        <v>49</v>
      </c>
      <c r="C30" s="19" t="s">
        <v>50</v>
      </c>
      <c r="D30" s="19" t="s">
        <v>50</v>
      </c>
      <c r="E30" s="19" t="s">
        <v>542</v>
      </c>
    </row>
    <row r="31" ht="15.75" customHeight="1">
      <c r="A31" s="19">
        <v>27.0</v>
      </c>
      <c r="B31" s="19" t="s">
        <v>49</v>
      </c>
      <c r="C31" s="19" t="s">
        <v>543</v>
      </c>
      <c r="D31" s="19" t="s">
        <v>544</v>
      </c>
      <c r="E31" s="19" t="s">
        <v>542</v>
      </c>
    </row>
    <row r="32" ht="15.75" customHeight="1">
      <c r="A32" s="12">
        <v>28.0</v>
      </c>
      <c r="B32" s="12" t="s">
        <v>82</v>
      </c>
      <c r="C32" s="12" t="s">
        <v>103</v>
      </c>
      <c r="D32" s="12" t="s">
        <v>103</v>
      </c>
      <c r="E32" s="12" t="s">
        <v>538</v>
      </c>
    </row>
    <row r="33" ht="15.75" customHeight="1">
      <c r="A33" s="19">
        <v>29.0</v>
      </c>
      <c r="B33" s="19" t="s">
        <v>82</v>
      </c>
      <c r="C33" s="19" t="s">
        <v>556</v>
      </c>
      <c r="D33" s="19" t="s">
        <v>557</v>
      </c>
      <c r="E33" s="19" t="s">
        <v>542</v>
      </c>
    </row>
    <row r="34" ht="15.75" customHeight="1">
      <c r="A34" s="12">
        <v>30.0</v>
      </c>
      <c r="B34" s="12" t="s">
        <v>103</v>
      </c>
      <c r="C34" s="12" t="s">
        <v>82</v>
      </c>
      <c r="D34" s="12" t="s">
        <v>82</v>
      </c>
      <c r="E34" s="12" t="s">
        <v>538</v>
      </c>
    </row>
    <row r="35" ht="15.75" customHeight="1">
      <c r="A35" s="19">
        <v>31.0</v>
      </c>
      <c r="B35" s="19" t="s">
        <v>103</v>
      </c>
      <c r="C35" s="19" t="s">
        <v>552</v>
      </c>
      <c r="D35" s="19" t="s">
        <v>553</v>
      </c>
      <c r="E35" s="19" t="s">
        <v>542</v>
      </c>
    </row>
    <row r="36" ht="15.75" customHeight="1">
      <c r="A36" s="19">
        <v>32.0</v>
      </c>
      <c r="B36" s="19" t="s">
        <v>103</v>
      </c>
      <c r="C36" s="19" t="s">
        <v>550</v>
      </c>
      <c r="D36" s="19" t="s">
        <v>551</v>
      </c>
      <c r="E36" s="19" t="s">
        <v>542</v>
      </c>
    </row>
    <row r="37" ht="15.75" customHeight="1">
      <c r="A37" s="19">
        <v>33.0</v>
      </c>
      <c r="B37" s="19" t="s">
        <v>123</v>
      </c>
      <c r="C37" s="19" t="s">
        <v>103</v>
      </c>
      <c r="D37" s="19" t="s">
        <v>103</v>
      </c>
      <c r="E37" s="19" t="s">
        <v>542</v>
      </c>
    </row>
    <row r="38" ht="15.75" customHeight="1">
      <c r="A38" s="19">
        <v>34.0</v>
      </c>
      <c r="B38" s="19" t="s">
        <v>123</v>
      </c>
      <c r="C38" s="19" t="s">
        <v>554</v>
      </c>
      <c r="D38" s="19" t="s">
        <v>555</v>
      </c>
      <c r="E38" s="19" t="s">
        <v>542</v>
      </c>
    </row>
    <row r="39" ht="15.75" customHeight="1">
      <c r="A39" s="12">
        <v>35.0</v>
      </c>
      <c r="B39" s="12" t="s">
        <v>134</v>
      </c>
      <c r="C39" s="12" t="s">
        <v>142</v>
      </c>
      <c r="D39" s="12" t="s">
        <v>142</v>
      </c>
      <c r="E39" s="12" t="s">
        <v>538</v>
      </c>
    </row>
    <row r="40" ht="15.75" customHeight="1">
      <c r="A40" s="19">
        <v>36.0</v>
      </c>
      <c r="B40" s="19" t="s">
        <v>134</v>
      </c>
      <c r="C40" s="19" t="s">
        <v>552</v>
      </c>
      <c r="D40" s="19" t="s">
        <v>553</v>
      </c>
      <c r="E40" s="19" t="s">
        <v>542</v>
      </c>
    </row>
    <row r="41" ht="15.75" customHeight="1">
      <c r="A41" s="19">
        <v>37.0</v>
      </c>
      <c r="B41" s="19" t="s">
        <v>134</v>
      </c>
      <c r="C41" s="19" t="s">
        <v>550</v>
      </c>
      <c r="D41" s="19" t="s">
        <v>551</v>
      </c>
      <c r="E41" s="19" t="s">
        <v>542</v>
      </c>
    </row>
    <row r="42" ht="15.75" customHeight="1">
      <c r="A42" s="12">
        <v>38.0</v>
      </c>
      <c r="B42" s="12" t="s">
        <v>142</v>
      </c>
      <c r="C42" s="12" t="s">
        <v>134</v>
      </c>
      <c r="D42" s="12" t="s">
        <v>134</v>
      </c>
      <c r="E42" s="12" t="s">
        <v>538</v>
      </c>
    </row>
    <row r="43" ht="15.75" customHeight="1">
      <c r="A43" s="12">
        <v>39.0</v>
      </c>
      <c r="B43" s="12" t="s">
        <v>142</v>
      </c>
      <c r="C43" s="12" t="s">
        <v>152</v>
      </c>
      <c r="D43" s="12" t="s">
        <v>152</v>
      </c>
      <c r="E43" s="12" t="s">
        <v>538</v>
      </c>
    </row>
    <row r="44" ht="15.75" customHeight="1">
      <c r="A44" s="19">
        <v>40.0</v>
      </c>
      <c r="B44" s="19" t="s">
        <v>142</v>
      </c>
      <c r="C44" s="19" t="s">
        <v>552</v>
      </c>
      <c r="D44" s="19" t="s">
        <v>553</v>
      </c>
      <c r="E44" s="19" t="s">
        <v>542</v>
      </c>
    </row>
    <row r="45" ht="15.75" customHeight="1">
      <c r="A45" s="12">
        <v>41.0</v>
      </c>
      <c r="B45" s="12" t="s">
        <v>152</v>
      </c>
      <c r="C45" s="12" t="s">
        <v>142</v>
      </c>
      <c r="D45" s="12" t="s">
        <v>142</v>
      </c>
      <c r="E45" s="12" t="s">
        <v>538</v>
      </c>
    </row>
    <row r="46" ht="15.75" customHeight="1">
      <c r="A46" s="19">
        <v>42.0</v>
      </c>
      <c r="B46" s="19" t="s">
        <v>152</v>
      </c>
      <c r="C46" s="19" t="s">
        <v>543</v>
      </c>
      <c r="D46" s="19" t="s">
        <v>544</v>
      </c>
      <c r="E46" s="19" t="s">
        <v>542</v>
      </c>
    </row>
    <row r="47" ht="15.75" customHeight="1">
      <c r="A47" s="12">
        <v>43.0</v>
      </c>
      <c r="B47" s="12" t="s">
        <v>161</v>
      </c>
      <c r="C47" s="12" t="s">
        <v>167</v>
      </c>
      <c r="D47" s="12" t="s">
        <v>167</v>
      </c>
      <c r="E47" s="12" t="s">
        <v>538</v>
      </c>
    </row>
    <row r="48" ht="15.75" customHeight="1">
      <c r="A48" s="19">
        <v>44.0</v>
      </c>
      <c r="B48" s="19" t="s">
        <v>161</v>
      </c>
      <c r="C48" s="19" t="s">
        <v>554</v>
      </c>
      <c r="D48" s="19" t="s">
        <v>555</v>
      </c>
      <c r="E48" s="19" t="s">
        <v>542</v>
      </c>
    </row>
    <row r="49" ht="15.75" customHeight="1">
      <c r="A49" s="12">
        <v>45.0</v>
      </c>
      <c r="B49" s="12" t="s">
        <v>167</v>
      </c>
      <c r="C49" s="12" t="s">
        <v>161</v>
      </c>
      <c r="D49" s="12" t="s">
        <v>161</v>
      </c>
      <c r="E49" s="12" t="s">
        <v>538</v>
      </c>
    </row>
    <row r="50" ht="15.75" customHeight="1">
      <c r="A50" s="19">
        <v>46.0</v>
      </c>
      <c r="B50" s="19" t="s">
        <v>167</v>
      </c>
      <c r="C50" s="19" t="s">
        <v>554</v>
      </c>
      <c r="D50" s="19" t="s">
        <v>555</v>
      </c>
      <c r="E50" s="19" t="s">
        <v>542</v>
      </c>
    </row>
    <row r="51" ht="15.75" customHeight="1">
      <c r="A51" s="12">
        <v>47.0</v>
      </c>
      <c r="B51" s="12" t="s">
        <v>178</v>
      </c>
      <c r="C51" s="12" t="s">
        <v>185</v>
      </c>
      <c r="D51" s="12" t="s">
        <v>185</v>
      </c>
      <c r="E51" s="12" t="s">
        <v>538</v>
      </c>
    </row>
    <row r="52" ht="15.75" customHeight="1">
      <c r="A52" s="19">
        <v>48.0</v>
      </c>
      <c r="B52" s="19" t="s">
        <v>178</v>
      </c>
      <c r="C52" s="19" t="s">
        <v>550</v>
      </c>
      <c r="D52" s="19" t="s">
        <v>551</v>
      </c>
      <c r="E52" s="19" t="s">
        <v>542</v>
      </c>
    </row>
    <row r="53" ht="15.75" customHeight="1">
      <c r="A53" s="12">
        <v>49.0</v>
      </c>
      <c r="B53" s="12" t="s">
        <v>185</v>
      </c>
      <c r="C53" s="12" t="s">
        <v>178</v>
      </c>
      <c r="D53" s="12" t="s">
        <v>178</v>
      </c>
      <c r="E53" s="12" t="s">
        <v>538</v>
      </c>
    </row>
    <row r="54" ht="15.75" customHeight="1">
      <c r="A54" s="19">
        <v>50.0</v>
      </c>
      <c r="B54" s="19" t="s">
        <v>185</v>
      </c>
      <c r="C54" s="19" t="s">
        <v>550</v>
      </c>
      <c r="D54" s="19" t="s">
        <v>551</v>
      </c>
      <c r="E54" s="19" t="s">
        <v>542</v>
      </c>
    </row>
    <row r="55" ht="15.75" customHeight="1">
      <c r="A55" s="19">
        <v>51.0</v>
      </c>
      <c r="B55" s="19" t="s">
        <v>195</v>
      </c>
      <c r="C55" s="19" t="s">
        <v>178</v>
      </c>
      <c r="D55" s="19" t="s">
        <v>178</v>
      </c>
      <c r="E55" s="19" t="s">
        <v>542</v>
      </c>
    </row>
    <row r="56" ht="15.75" customHeight="1">
      <c r="A56" s="19">
        <v>52.0</v>
      </c>
      <c r="B56" s="19" t="s">
        <v>195</v>
      </c>
      <c r="C56" s="19" t="s">
        <v>552</v>
      </c>
      <c r="D56" s="19" t="s">
        <v>553</v>
      </c>
      <c r="E56" s="19" t="s">
        <v>542</v>
      </c>
    </row>
    <row r="57" ht="15.75" customHeight="1">
      <c r="A57" s="19">
        <v>53.0</v>
      </c>
      <c r="B57" s="19" t="s">
        <v>202</v>
      </c>
      <c r="C57" s="19" t="s">
        <v>42</v>
      </c>
      <c r="D57" s="19" t="s">
        <v>42</v>
      </c>
      <c r="E57" s="19" t="s">
        <v>542</v>
      </c>
    </row>
    <row r="58" ht="15.75" customHeight="1">
      <c r="A58" s="19">
        <v>54.0</v>
      </c>
      <c r="B58" s="19" t="s">
        <v>202</v>
      </c>
      <c r="C58" s="19" t="s">
        <v>50</v>
      </c>
      <c r="D58" s="19" t="s">
        <v>50</v>
      </c>
      <c r="E58" s="19" t="s">
        <v>542</v>
      </c>
    </row>
    <row r="59" ht="15.75" customHeight="1">
      <c r="A59" s="19">
        <v>55.0</v>
      </c>
      <c r="B59" s="19" t="s">
        <v>202</v>
      </c>
      <c r="C59" s="19" t="s">
        <v>570</v>
      </c>
      <c r="D59" s="19" t="s">
        <v>571</v>
      </c>
      <c r="E59" s="19" t="s">
        <v>542</v>
      </c>
    </row>
    <row r="60" ht="15.75" customHeight="1">
      <c r="A60" s="19">
        <v>56.0</v>
      </c>
      <c r="B60" s="19" t="s">
        <v>211</v>
      </c>
      <c r="C60" s="19" t="s">
        <v>540</v>
      </c>
      <c r="D60" s="19" t="s">
        <v>541</v>
      </c>
      <c r="E60" s="19" t="s">
        <v>542</v>
      </c>
    </row>
    <row r="61" ht="15.75" customHeight="1">
      <c r="A61" s="19">
        <v>57.0</v>
      </c>
      <c r="B61" s="19" t="s">
        <v>211</v>
      </c>
      <c r="C61" s="19" t="s">
        <v>554</v>
      </c>
      <c r="D61" s="19" t="s">
        <v>555</v>
      </c>
      <c r="E61" s="19" t="s">
        <v>542</v>
      </c>
    </row>
    <row r="62" ht="15.75" customHeight="1">
      <c r="A62" s="19">
        <v>58.0</v>
      </c>
      <c r="B62" s="19" t="s">
        <v>222</v>
      </c>
      <c r="C62" s="19" t="s">
        <v>540</v>
      </c>
      <c r="D62" s="19" t="s">
        <v>541</v>
      </c>
      <c r="E62" s="19" t="s">
        <v>542</v>
      </c>
    </row>
    <row r="63" ht="15.75" customHeight="1">
      <c r="A63" s="19">
        <v>59.0</v>
      </c>
      <c r="B63" s="19" t="s">
        <v>222</v>
      </c>
      <c r="C63" s="19" t="s">
        <v>552</v>
      </c>
      <c r="D63" s="19" t="s">
        <v>553</v>
      </c>
      <c r="E63" s="19" t="s">
        <v>542</v>
      </c>
    </row>
    <row r="64" ht="15.75" customHeight="1">
      <c r="A64" s="19">
        <v>60.0</v>
      </c>
      <c r="B64" s="19" t="s">
        <v>230</v>
      </c>
      <c r="C64" s="19" t="s">
        <v>317</v>
      </c>
      <c r="D64" s="19" t="s">
        <v>580</v>
      </c>
      <c r="E64" s="19" t="s">
        <v>542</v>
      </c>
    </row>
    <row r="65" ht="15.75" customHeight="1">
      <c r="A65" s="19">
        <v>61.0</v>
      </c>
      <c r="B65" s="19" t="s">
        <v>236</v>
      </c>
      <c r="C65" s="19" t="s">
        <v>540</v>
      </c>
      <c r="D65" s="19" t="s">
        <v>541</v>
      </c>
      <c r="E65" s="19" t="s">
        <v>542</v>
      </c>
    </row>
    <row r="66" ht="15.75" customHeight="1">
      <c r="A66" s="19">
        <v>62.0</v>
      </c>
      <c r="B66" s="19" t="s">
        <v>236</v>
      </c>
      <c r="C66" s="19" t="s">
        <v>552</v>
      </c>
      <c r="D66" s="19" t="s">
        <v>553</v>
      </c>
      <c r="E66" s="19" t="s">
        <v>542</v>
      </c>
    </row>
    <row r="67" ht="15.75" customHeight="1">
      <c r="A67" s="19">
        <v>63.0</v>
      </c>
      <c r="B67" s="19" t="s">
        <v>242</v>
      </c>
      <c r="C67" s="19" t="s">
        <v>317</v>
      </c>
      <c r="D67" s="19" t="s">
        <v>580</v>
      </c>
      <c r="E67" s="19" t="s">
        <v>542</v>
      </c>
    </row>
    <row r="68" ht="15.75" customHeight="1">
      <c r="A68" s="19">
        <v>64.0</v>
      </c>
      <c r="B68" s="19" t="s">
        <v>242</v>
      </c>
      <c r="C68" s="19" t="s">
        <v>548</v>
      </c>
      <c r="D68" s="19" t="s">
        <v>549</v>
      </c>
      <c r="E68" s="19" t="s">
        <v>542</v>
      </c>
    </row>
    <row r="69" ht="15.75" customHeight="1">
      <c r="A69" s="19">
        <v>65.0</v>
      </c>
      <c r="B69" s="19" t="s">
        <v>248</v>
      </c>
      <c r="C69" s="19" t="s">
        <v>42</v>
      </c>
      <c r="D69" s="19" t="s">
        <v>42</v>
      </c>
      <c r="E69" s="19" t="s">
        <v>542</v>
      </c>
    </row>
    <row r="70" ht="15.75" customHeight="1">
      <c r="A70" s="19">
        <v>66.0</v>
      </c>
      <c r="B70" s="19" t="s">
        <v>248</v>
      </c>
      <c r="C70" s="19" t="s">
        <v>546</v>
      </c>
      <c r="D70" s="19" t="s">
        <v>547</v>
      </c>
      <c r="E70" s="19" t="s">
        <v>542</v>
      </c>
    </row>
    <row r="71" ht="15.75" customHeight="1">
      <c r="A71" s="19">
        <v>67.0</v>
      </c>
      <c r="B71" s="19" t="s">
        <v>248</v>
      </c>
      <c r="C71" s="19" t="s">
        <v>540</v>
      </c>
      <c r="D71" s="19" t="s">
        <v>541</v>
      </c>
      <c r="E71" s="19" t="s">
        <v>542</v>
      </c>
    </row>
    <row r="72" ht="15.75" customHeight="1">
      <c r="A72" s="19">
        <v>68.0</v>
      </c>
      <c r="B72" s="19" t="s">
        <v>255</v>
      </c>
      <c r="C72" s="19" t="s">
        <v>582</v>
      </c>
      <c r="D72" s="19" t="s">
        <v>375</v>
      </c>
      <c r="E72" s="19" t="s">
        <v>542</v>
      </c>
    </row>
    <row r="73" ht="15.75" customHeight="1">
      <c r="A73" s="19">
        <v>69.0</v>
      </c>
      <c r="B73" s="19" t="s">
        <v>255</v>
      </c>
      <c r="C73" s="19" t="s">
        <v>583</v>
      </c>
      <c r="D73" s="19" t="s">
        <v>366</v>
      </c>
      <c r="E73" s="19" t="s">
        <v>542</v>
      </c>
    </row>
    <row r="74" ht="15.75" customHeight="1">
      <c r="A74" s="19">
        <v>70.0</v>
      </c>
      <c r="B74" s="19" t="s">
        <v>260</v>
      </c>
      <c r="C74" s="19" t="s">
        <v>584</v>
      </c>
      <c r="D74" s="19" t="s">
        <v>443</v>
      </c>
      <c r="E74" s="19" t="s">
        <v>542</v>
      </c>
    </row>
    <row r="75" ht="15.75" customHeight="1">
      <c r="A75" s="19">
        <v>71.0</v>
      </c>
      <c r="B75" s="19" t="s">
        <v>260</v>
      </c>
      <c r="C75" s="19" t="s">
        <v>90</v>
      </c>
      <c r="D75" s="19" t="s">
        <v>90</v>
      </c>
      <c r="E75" s="19" t="s">
        <v>542</v>
      </c>
    </row>
    <row r="76" ht="15.75" customHeight="1">
      <c r="A76" s="19">
        <v>72.0</v>
      </c>
      <c r="B76" s="19" t="s">
        <v>268</v>
      </c>
      <c r="C76" s="19" t="s">
        <v>50</v>
      </c>
      <c r="D76" s="19" t="s">
        <v>50</v>
      </c>
      <c r="E76" s="19" t="s">
        <v>542</v>
      </c>
    </row>
    <row r="77" ht="15.75" customHeight="1">
      <c r="A77" s="19">
        <v>73.0</v>
      </c>
      <c r="B77" s="19" t="s">
        <v>268</v>
      </c>
      <c r="C77" s="19" t="s">
        <v>31</v>
      </c>
      <c r="D77" s="19" t="s">
        <v>31</v>
      </c>
      <c r="E77" s="19" t="s">
        <v>542</v>
      </c>
    </row>
    <row r="78" ht="15.75" customHeight="1">
      <c r="A78" s="19">
        <v>74.0</v>
      </c>
      <c r="B78" s="19" t="s">
        <v>268</v>
      </c>
      <c r="C78" s="19" t="s">
        <v>586</v>
      </c>
      <c r="D78" s="19" t="s">
        <v>587</v>
      </c>
      <c r="E78" s="19" t="s">
        <v>542</v>
      </c>
    </row>
    <row r="79" ht="15.75" customHeight="1">
      <c r="A79" s="19">
        <v>75.0</v>
      </c>
      <c r="B79" s="19" t="s">
        <v>274</v>
      </c>
      <c r="C79" s="19" t="s">
        <v>546</v>
      </c>
      <c r="D79" s="19" t="s">
        <v>547</v>
      </c>
      <c r="E79" s="19" t="s">
        <v>542</v>
      </c>
    </row>
    <row r="80" ht="15.75" customHeight="1">
      <c r="A80" s="19">
        <v>76.0</v>
      </c>
      <c r="B80" s="19" t="s">
        <v>274</v>
      </c>
      <c r="C80" s="19" t="s">
        <v>588</v>
      </c>
      <c r="D80" s="19" t="s">
        <v>589</v>
      </c>
      <c r="E80" s="19" t="s">
        <v>542</v>
      </c>
    </row>
    <row r="81" ht="15.75" customHeight="1">
      <c r="A81" s="19">
        <v>77.0</v>
      </c>
      <c r="B81" s="19" t="s">
        <v>274</v>
      </c>
      <c r="C81" s="19" t="s">
        <v>590</v>
      </c>
      <c r="D81" s="19" t="s">
        <v>591</v>
      </c>
      <c r="E81" s="19" t="s">
        <v>542</v>
      </c>
    </row>
    <row r="82" ht="15.75" customHeight="1">
      <c r="A82" s="19">
        <v>78.0</v>
      </c>
      <c r="B82" s="19" t="s">
        <v>280</v>
      </c>
      <c r="C82" s="19" t="s">
        <v>582</v>
      </c>
      <c r="D82" s="19" t="s">
        <v>375</v>
      </c>
      <c r="E82" s="19" t="s">
        <v>542</v>
      </c>
    </row>
    <row r="83" ht="15.75" customHeight="1">
      <c r="A83" s="19">
        <v>79.0</v>
      </c>
      <c r="B83" s="19" t="s">
        <v>280</v>
      </c>
      <c r="C83" s="19" t="s">
        <v>593</v>
      </c>
      <c r="D83" s="19" t="s">
        <v>469</v>
      </c>
      <c r="E83" s="19" t="s">
        <v>542</v>
      </c>
    </row>
    <row r="84" ht="15.75" customHeight="1">
      <c r="A84" s="19">
        <v>80.0</v>
      </c>
      <c r="B84" s="19" t="s">
        <v>280</v>
      </c>
      <c r="C84" s="19" t="s">
        <v>594</v>
      </c>
      <c r="D84" s="19" t="s">
        <v>460</v>
      </c>
      <c r="E84" s="19" t="s">
        <v>542</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6.0"/>
    <col customWidth="1" min="2" max="2" width="30.0"/>
    <col customWidth="1" min="3" max="3" width="40.0"/>
    <col customWidth="1" min="4" max="4" width="50.0"/>
    <col customWidth="1" min="5" max="26" width="8.71"/>
  </cols>
  <sheetData>
    <row r="1" ht="30.0" customHeight="1">
      <c r="A1" s="3" t="s">
        <v>558</v>
      </c>
      <c r="B1" s="5"/>
      <c r="C1" s="5"/>
      <c r="D1" s="7"/>
    </row>
    <row r="2" ht="19.5" customHeight="1">
      <c r="A2" s="2" t="s">
        <v>559</v>
      </c>
    </row>
    <row r="4" ht="31.5" customHeight="1">
      <c r="A4" s="8" t="s">
        <v>560</v>
      </c>
      <c r="B4" s="8" t="s">
        <v>561</v>
      </c>
      <c r="C4" s="8" t="s">
        <v>562</v>
      </c>
      <c r="D4" s="8" t="s">
        <v>563</v>
      </c>
    </row>
    <row r="5" ht="39.75" customHeight="1">
      <c r="A5" s="12" t="s">
        <v>564</v>
      </c>
      <c r="B5" s="12" t="s">
        <v>540</v>
      </c>
      <c r="C5" s="12" t="s">
        <v>565</v>
      </c>
      <c r="D5" s="12" t="s">
        <v>566</v>
      </c>
    </row>
    <row r="6" ht="39.75" customHeight="1">
      <c r="A6" s="12" t="s">
        <v>567</v>
      </c>
      <c r="B6" s="12" t="s">
        <v>568</v>
      </c>
      <c r="C6" s="12" t="s">
        <v>565</v>
      </c>
      <c r="D6" s="12" t="s">
        <v>569</v>
      </c>
    </row>
    <row r="7" ht="39.75" customHeight="1">
      <c r="A7" s="12" t="s">
        <v>572</v>
      </c>
      <c r="B7" s="12" t="s">
        <v>573</v>
      </c>
      <c r="C7" s="12" t="s">
        <v>574</v>
      </c>
      <c r="D7" s="12" t="s">
        <v>575</v>
      </c>
    </row>
    <row r="8" ht="39.75" customHeight="1">
      <c r="A8" s="12" t="s">
        <v>576</v>
      </c>
      <c r="B8" s="12" t="s">
        <v>577</v>
      </c>
      <c r="C8" s="12" t="s">
        <v>565</v>
      </c>
      <c r="D8" s="12" t="s">
        <v>578</v>
      </c>
    </row>
    <row r="10">
      <c r="A10" s="20" t="s">
        <v>579</v>
      </c>
      <c r="B10" s="20"/>
      <c r="C10" s="20"/>
      <c r="D10" s="20"/>
    </row>
    <row r="11">
      <c r="A11" s="16" t="s">
        <v>581</v>
      </c>
      <c r="B11" s="16"/>
      <c r="C11" s="16"/>
      <c r="D11"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0"/>
    <col customWidth="1" min="2" max="5" width="44.0"/>
    <col customWidth="1" min="6" max="26" width="8.71"/>
  </cols>
  <sheetData>
    <row r="1" ht="30.0" customHeight="1">
      <c r="A1" s="3" t="s">
        <v>595</v>
      </c>
      <c r="B1" s="5"/>
      <c r="C1" s="5"/>
      <c r="D1" s="5"/>
      <c r="E1" s="7"/>
    </row>
    <row r="2" ht="19.5" customHeight="1">
      <c r="A2" s="2" t="s">
        <v>596</v>
      </c>
    </row>
    <row r="4" ht="24.0" customHeight="1">
      <c r="A4" s="8" t="s">
        <v>597</v>
      </c>
      <c r="B4" s="8" t="s">
        <v>598</v>
      </c>
      <c r="C4" s="8" t="s">
        <v>599</v>
      </c>
      <c r="D4" s="8" t="s">
        <v>600</v>
      </c>
      <c r="E4" s="8" t="s">
        <v>601</v>
      </c>
    </row>
    <row r="5" ht="109.5" customHeight="1">
      <c r="A5" s="12" t="s">
        <v>602</v>
      </c>
      <c r="B5" s="12" t="s">
        <v>603</v>
      </c>
      <c r="C5" s="12" t="s">
        <v>604</v>
      </c>
      <c r="D5" s="12" t="s">
        <v>605</v>
      </c>
      <c r="E5" s="12" t="s">
        <v>606</v>
      </c>
    </row>
    <row r="6" ht="109.5" customHeight="1">
      <c r="A6" s="12" t="s">
        <v>607</v>
      </c>
      <c r="B6" s="12" t="s">
        <v>608</v>
      </c>
      <c r="C6" s="12" t="s">
        <v>609</v>
      </c>
      <c r="D6" s="12" t="s">
        <v>610</v>
      </c>
      <c r="E6" s="12" t="s">
        <v>611</v>
      </c>
    </row>
    <row r="7" ht="109.5" customHeight="1">
      <c r="A7" s="12" t="s">
        <v>612</v>
      </c>
      <c r="B7" s="12" t="s">
        <v>613</v>
      </c>
      <c r="C7" s="12" t="s">
        <v>614</v>
      </c>
      <c r="D7" s="12" t="s">
        <v>615</v>
      </c>
      <c r="E7" s="12" t="s">
        <v>616</v>
      </c>
    </row>
    <row r="8" ht="109.5" customHeight="1">
      <c r="A8" s="12" t="s">
        <v>617</v>
      </c>
      <c r="B8" s="12" t="s">
        <v>618</v>
      </c>
      <c r="C8" s="12" t="s">
        <v>619</v>
      </c>
      <c r="D8" s="12" t="s">
        <v>620</v>
      </c>
      <c r="E8" s="12" t="s">
        <v>621</v>
      </c>
    </row>
    <row r="9" ht="109.5" customHeight="1">
      <c r="A9" s="12" t="s">
        <v>622</v>
      </c>
      <c r="B9" s="12" t="s">
        <v>623</v>
      </c>
      <c r="C9" s="12" t="s">
        <v>624</v>
      </c>
      <c r="D9" s="12" t="s">
        <v>625</v>
      </c>
      <c r="E9" s="12" t="s">
        <v>626</v>
      </c>
    </row>
    <row r="10" ht="109.5" customHeight="1">
      <c r="A10" s="12" t="s">
        <v>627</v>
      </c>
      <c r="B10" s="12" t="s">
        <v>628</v>
      </c>
      <c r="C10" s="12" t="s">
        <v>629</v>
      </c>
      <c r="D10" s="12" t="s">
        <v>630</v>
      </c>
      <c r="E10" s="12" t="s">
        <v>631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60.0"/>
    <col customWidth="1" min="3" max="3" width="30.0"/>
    <col customWidth="1" min="4" max="4" width="16.0"/>
    <col customWidth="1" min="5" max="26" width="8.71"/>
  </cols>
  <sheetData>
    <row r="1" ht="30.0" customHeight="1">
      <c r="A1" s="3" t="s">
        <v>641</v>
      </c>
      <c r="B1" s="5"/>
      <c r="C1" s="5"/>
      <c r="D1" s="7"/>
    </row>
    <row r="2" ht="19.5" customHeight="1">
      <c r="A2" s="2" t="s">
        <v>642</v>
      </c>
    </row>
    <row r="4" ht="24.0" customHeight="1">
      <c r="A4" s="8" t="s">
        <v>643</v>
      </c>
      <c r="B4" s="8" t="s">
        <v>644</v>
      </c>
      <c r="C4" s="8" t="s">
        <v>645</v>
      </c>
      <c r="D4" s="8" t="s">
        <v>646</v>
      </c>
    </row>
    <row r="5" ht="84.75" customHeight="1">
      <c r="A5" s="16" t="s">
        <v>647</v>
      </c>
      <c r="B5" s="16" t="s">
        <v>648</v>
      </c>
      <c r="C5" s="16" t="s">
        <v>649</v>
      </c>
      <c r="D5" s="16" t="s">
        <v>650</v>
      </c>
    </row>
    <row r="6" ht="84.75" customHeight="1">
      <c r="A6" s="21" t="s">
        <v>651</v>
      </c>
      <c r="B6" s="21" t="s">
        <v>653</v>
      </c>
      <c r="C6" s="21" t="s">
        <v>654</v>
      </c>
      <c r="D6" s="21" t="s">
        <v>655</v>
      </c>
    </row>
    <row r="7" ht="84.75" customHeight="1">
      <c r="A7" s="21" t="s">
        <v>656</v>
      </c>
      <c r="B7" s="21" t="s">
        <v>657</v>
      </c>
      <c r="C7" s="21" t="s">
        <v>658</v>
      </c>
      <c r="D7" s="21" t="s">
        <v>659</v>
      </c>
    </row>
    <row r="8" ht="84.75" customHeight="1">
      <c r="A8" s="22" t="s">
        <v>660</v>
      </c>
      <c r="B8" s="22" t="s">
        <v>661</v>
      </c>
      <c r="C8" s="22" t="s">
        <v>663</v>
      </c>
      <c r="D8" s="22" t="s">
        <v>664</v>
      </c>
    </row>
    <row r="9" ht="84.75" customHeight="1">
      <c r="A9" s="16" t="s">
        <v>665</v>
      </c>
      <c r="B9" s="16" t="s">
        <v>666</v>
      </c>
      <c r="C9" s="16" t="s">
        <v>667</v>
      </c>
      <c r="D9" s="16" t="s">
        <v>668</v>
      </c>
    </row>
    <row r="10" ht="84.75" customHeight="1">
      <c r="A10" s="16" t="s">
        <v>670</v>
      </c>
      <c r="B10" s="16" t="s">
        <v>671</v>
      </c>
      <c r="C10" s="16" t="s">
        <v>672</v>
      </c>
      <c r="D10" s="16" t="s">
        <v>673</v>
      </c>
    </row>
    <row r="11" ht="84.75" customHeight="1">
      <c r="A11" s="16" t="s">
        <v>675</v>
      </c>
      <c r="B11" s="16" t="s">
        <v>677</v>
      </c>
      <c r="C11" s="16" t="s">
        <v>678</v>
      </c>
      <c r="D11" s="16" t="s">
        <v>679</v>
      </c>
    </row>
    <row r="12" ht="84.75" customHeight="1">
      <c r="A12" s="16" t="s">
        <v>681</v>
      </c>
      <c r="B12" s="16" t="s">
        <v>682</v>
      </c>
      <c r="C12" s="16" t="s">
        <v>672</v>
      </c>
      <c r="D12" s="16" t="s">
        <v>673</v>
      </c>
    </row>
    <row r="13" ht="84.75" customHeight="1">
      <c r="A13" s="21" t="s">
        <v>684</v>
      </c>
      <c r="B13" s="21" t="s">
        <v>685</v>
      </c>
      <c r="C13" s="21" t="s">
        <v>686</v>
      </c>
      <c r="D13" s="21" t="s">
        <v>687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0"/>
    <col customWidth="1" min="2" max="2" width="12.0"/>
    <col customWidth="1" min="3" max="3" width="70.0"/>
    <col customWidth="1" min="4" max="26" width="8.71"/>
  </cols>
  <sheetData>
    <row r="1" ht="30.0" customHeight="1">
      <c r="A1" s="3" t="s">
        <v>652</v>
      </c>
      <c r="B1" s="5"/>
      <c r="C1" s="7"/>
    </row>
    <row r="2" ht="19.5" customHeight="1">
      <c r="A2" s="2" t="s">
        <v>662</v>
      </c>
    </row>
    <row r="4" ht="24.0" customHeight="1">
      <c r="A4" s="8" t="s">
        <v>669</v>
      </c>
      <c r="B4" s="8" t="s">
        <v>674</v>
      </c>
      <c r="C4" s="8" t="s">
        <v>676</v>
      </c>
    </row>
    <row r="5" ht="109.5" customHeight="1">
      <c r="A5" s="12" t="s">
        <v>680</v>
      </c>
      <c r="B5" s="23" t="s">
        <v>683</v>
      </c>
      <c r="C5" s="12" t="s">
        <v>688</v>
      </c>
    </row>
    <row r="6" ht="109.5" customHeight="1">
      <c r="A6" s="12" t="s">
        <v>689</v>
      </c>
      <c r="B6" s="24" t="s">
        <v>690</v>
      </c>
      <c r="C6" s="12" t="s">
        <v>691</v>
      </c>
    </row>
    <row r="7" ht="109.5" customHeight="1">
      <c r="A7" s="12" t="s">
        <v>692</v>
      </c>
      <c r="B7" s="24" t="s">
        <v>690</v>
      </c>
      <c r="C7" s="12" t="s">
        <v>693</v>
      </c>
    </row>
    <row r="8" ht="109.5" customHeight="1">
      <c r="A8" s="12" t="s">
        <v>694</v>
      </c>
      <c r="B8" s="23" t="s">
        <v>695</v>
      </c>
      <c r="C8" s="12" t="s">
        <v>696</v>
      </c>
    </row>
    <row r="9" ht="109.5" customHeight="1">
      <c r="A9" s="12" t="s">
        <v>697</v>
      </c>
      <c r="B9" s="24" t="s">
        <v>690</v>
      </c>
      <c r="C9" s="12" t="s">
        <v>698</v>
      </c>
    </row>
    <row r="10" ht="109.5" customHeight="1">
      <c r="A10" s="12" t="s">
        <v>699</v>
      </c>
      <c r="B10" s="25" t="s">
        <v>700</v>
      </c>
      <c r="C10" s="12" t="s">
        <v>701</v>
      </c>
    </row>
    <row r="11" ht="109.5" customHeight="1">
      <c r="A11" s="12" t="s">
        <v>702</v>
      </c>
      <c r="B11" s="24" t="s">
        <v>690</v>
      </c>
      <c r="C11" s="12" t="s">
        <v>703</v>
      </c>
    </row>
    <row r="12" ht="109.5" customHeight="1">
      <c r="A12" s="12" t="s">
        <v>704</v>
      </c>
      <c r="B12" s="25" t="s">
        <v>705</v>
      </c>
      <c r="C12" s="12" t="s">
        <v>706</v>
      </c>
    </row>
    <row r="14" ht="90.0" customHeight="1">
      <c r="A14" s="26" t="s">
        <v>707</v>
      </c>
      <c r="B14" s="20" t="s">
        <v>708</v>
      </c>
      <c r="C14" s="26" t="s">
        <v>709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paperSize="9" orientation="portrait"/>
  <drawing r:id="rId1"/>
</worksheet>
</file>
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FIRST" sheetId="1" r:id="rId5"/>
    <sheet state="visible" name="1. Decision Summary" sheetId="2" r:id="rId6"/>
    <sheet state="visible" name="2. SERP Benchmark" sheetId="3" r:id="rId7"/>
    <sheet state="visible" name="3. Competitor Patterns" sheetId="4" r:id="rId8"/>
    <sheet state="visible" name="4. Viraj &amp; Sagar Benchmark" sheetId="5" r:id="rId9"/>
    <sheet state="visible" name="5. Keyword Map" sheetId="6" r:id="rId10"/>
    <sheet state="visible" name="6. On-Page Specs" sheetId="7" r:id="rId11"/>
    <sheet state="visible" name="7. Page Template (Dev)" sheetId="8" r:id="rId12"/>
    <sheet state="visible" name="8. City Content (Paste)" sheetId="9" r:id="rId13"/>
    <sheet state="visible" name="8b. Page Tables (Paste)" sheetId="10" r:id="rId14"/>
    <sheet state="visible" name="9. FAQs (Paste)" sheetId="11" r:id="rId15"/>
    <sheet state="visible" name="10. Lead Capture Forms" sheetId="12" r:id="rId16"/>
    <sheet state="visible" name="11. Schema JSON-LD" sheetId="13" r:id="rId17"/>
    <sheet state="visible" name="12. Links-Redirects-Index" sheetId="14" r:id="rId18"/>
    <sheet state="visible" name="13. Media Plan" sheetId="15" r:id="rId19"/>
    <sheet state="visible" name="14. Reference Data" sheetId="16" r:id="rId20"/>
    <sheet state="visible" name="15. Client Inputs" sheetId="17" r:id="rId21"/>
    <sheet state="visible" name="16. Tests &amp; Rollout" sheetId="18" r:id="rId22"/>
    <sheet state="visible" name="17. Sources" sheetId="19" r:id="rId23"/>
  </sheets>
  <definedNames/>
  <calcPr/>
</workbook>
</file>

<file path=xl/sharedStrings.xml><?xml version="1.0" encoding="utf-8"?>
<sst xmlns="http://schemas.openxmlformats.org/spreadsheetml/2006/main" count="5441" uniqueCount="2648">
  <si>
    <t>1. Decision summary - what happens to each of the 10 URLs</t>
  </si>
  <si>
    <t>2. SERP benchmark - 'flanges manufacturer in {city}' and 'flange supplier in {city}' (20 searches)</t>
  </si>
  <si>
    <t>3. Competitor patterns - who ranks for these city keywords, why, and how Remax beats each pattern</t>
  </si>
  <si>
    <t>Remax Forge &amp; Fittings - city pages for Andhra Pradesh and Arunachal Pradesh: strategy and developer build pack</t>
  </si>
  <si>
    <t>remaxforge.com · prepared by errorr.in · research 27 Sep 2026 · workbook 28 Sep 2026</t>
  </si>
  <si>
    <t>GSC pages export, 20 Feb - 6 Aug 2026 (master plan, sheet '12. GSC Raw Data - Pages'). Each URL shows up twice in GSC - with and without the trailing slash - which is the duplicate-URL fault C-01 fixes.</t>
  </si>
  <si>
    <t>Patterns seen across the 20 result sets in tab 2. The lesson: every ranking page wins on exact-match structure and internal linking, not on content quality - Remax can match the structure and beat the content.</t>
  </si>
  <si>
    <t>GSC period covered (months): 20 Feb - 6 Aug 2026</t>
  </si>
  <si>
    <t>STANDING RULE - FORMS ONLY: no visible phone number, no tel: link, no WhatsApp link or widget, and no telephone property in schema - on any page, image, video or email signature. Every lead comes through a form.</t>
  </si>
  <si>
    <t>#</t>
  </si>
  <si>
    <t>Checked 27 Sep 2026 with a web-search API, not geo-located Google India - positions shift by location and device. Re-check in an incognito window set to the city, or with a rank tracker, before reporting. No Remax page appeared in any result set.</t>
  </si>
  <si>
    <t>Competitor / pattern</t>
  </si>
  <si>
    <t>Page type</t>
  </si>
  <si>
    <t>City</t>
  </si>
  <si>
    <t>Why it ranks</t>
  </si>
  <si>
    <t>Weakness</t>
  </si>
  <si>
    <t>Keyword</t>
  </si>
  <si>
    <t>How Remax beats it</t>
  </si>
  <si>
    <t>Results seen (in order)</t>
  </si>
  <si>
    <t>Dedicated local competitor page?</t>
  </si>
  <si>
    <t>Why they rank</t>
  </si>
  <si>
    <t>Their weaknesses</t>
  </si>
  <si>
    <t>How Remax outranks them</t>
  </si>
  <si>
    <t>Difficulty (1 easy - 5 hard)</t>
  </si>
  <si>
    <t>Remax target URL</t>
  </si>
  <si>
    <t>Visakhapatnam</t>
  </si>
  <si>
    <t>IndiaMART / TradeIndia / Justdial / aajjo / Workwise</t>
  </si>
  <si>
    <t>Directory / marketplace</t>
  </si>
  <si>
    <t>Domain authority; category x city page grids; local listings with prices, ratings and reviews.</t>
  </si>
  <si>
    <t>flanges manufacturer in Visakhapatnam</t>
  </si>
  <si>
    <t>Generic; the buyer must call several sellers; many listings are Mumbai firms 'also serving' the city. Listings expose phone numbers.</t>
  </si>
  <si>
    <t>Do not fight on authority. Win the dedicated-page slot beneath them and convert better (written quotes, prices, documents). Listing there conflicts with the forms-only rule - client's call.</t>
  </si>
  <si>
    <t>1 TradeIndia - blind flanges, Visakhapatnam category page | 2 TradeIndia - SS flanges, Visakhapatnam | 3 IndiaMART - local retailer listing | 4 Nitech Stainless - templated city page | 5 Justdial - 47 flange manufacturers | 6 Justdial - MS flange manufacturers | 7 Workwise vendor page | 8 Kalikund Steel - alloy steel flanges city page | 9 Rudra Impex - templated city page</t>
  </si>
  <si>
    <t>Yes (4 templated competitor pages)</t>
  </si>
  <si>
    <t>Kalikund Steel (kalikundsteel.com/city/...)</t>
  </si>
  <si>
    <t>Directories: domain authority, huge category-by-city page grids, local listings with prices and reviews. Competitor pages: exact-match URL/title/H1, thousands of internally linked city pages, aged domains.</t>
  </si>
  <si>
    <t>Material x city matrix (2021)</t>
  </si>
  <si>
    <t>Hundreds of exact-match pages, heavy internal linking, locality names stuffed into keyword lists.</t>
  </si>
  <si>
    <t>Templated copy with city-swap errors: Nitech's Vizag page says it made its name 'in the Hyderabad market'; Rudra Impex lists carbide cutters and conveyor belts as flange types and mentions Hubli, Dhar and Chennai. No local industry, no delivery facts, no prices; phone/WhatsApp-first CTAs.</t>
  </si>
  <si>
    <t>Unreadable keyword strings; no buyer information; old.</t>
  </si>
  <si>
    <t>Get indexed and linked first (C-01, C-03 to C-05). Then out-content them on local substance: AM/NS Anakapalli, HPCL, ports, Pharma City; coastal/sour/oxygen material guidance; delivery and document facts; price guidance; GSTIN and real factory media. Realistic target: first page below the directories.</t>
  </si>
  <si>
    <t>Capture material variants with H2 sections on ONE city page (never separate city x material pages - avoids the thin-page trap).</t>
  </si>
  <si>
    <t>/visakhapatnam/</t>
  </si>
  <si>
    <t>Where things stand (live formulas)</t>
  </si>
  <si>
    <t>Nitech Stainless</t>
  </si>
  <si>
    <t>Templated city pages</t>
  </si>
  <si>
    <t>Exact-match title and URL; site-wide city links.</t>
  </si>
  <si>
    <t>flange supplier in Visakhapatnam</t>
  </si>
  <si>
    <t>Template leak: the Visakhapatnam page says the firm made its name 'in the Hyderabad market'.</t>
  </si>
  <si>
    <t>1 TradeIndia - SS flanges | 2 Riddhi Siddhi Metal Impex - templated city page | 3 Dolphin Rubber - flange gaskets | 4 stainlesssteelscrews.in - flange bolts | 5 Nitech Stainless | 6 Kanakbhuvan - pipe fittings city page | 7 Justdial | 8 Kalikund Steel | 9 Rudra Impex</t>
  </si>
  <si>
    <t>Local facts only a real supplier would know (sites, routes, documents).</t>
  </si>
  <si>
    <t>Yes (templated)</t>
  </si>
  <si>
    <t>Same as above; two results are intent mismatches (gaskets, bolts), a sign Google lacks good matches.</t>
  </si>
  <si>
    <t>Riddhi Siddhi claims EIL/IBR/ARAMCO approvals with no evidence on the page and says it covers 'more than 55 cities in Visakhapatnam'.</t>
  </si>
  <si>
    <t>Rudra Impex</t>
  </si>
  <si>
    <t>Same page as the manufacturer query (one URL per city). Answer supplier-intent questions directly in FAQs (local stock? delivery time? documents?).</t>
  </si>
  <si>
    <t>Spun template</t>
  </si>
  <si>
    <t>Exact-match URLs by city and product.</t>
  </si>
  <si>
    <t>Lists carbide cutters, conveyor belts and felt sheets as 'types of flange'; names Hubli, Dhar and Chennai on the Vizag page; claims to be the 'largest flange manufacturer in Visakhapatnam'.</t>
  </si>
  <si>
    <t>Blue = hardcoded assumption. Change it if the export covers a different period; the per-month figures below recalculate.</t>
  </si>
  <si>
    <t>Accuracy and plain honesty (we ship from Mumbai).</t>
  </si>
  <si>
    <t>Vijayawada</t>
  </si>
  <si>
    <t>flanges manufacturer in Vijayawada</t>
  </si>
  <si>
    <t>Riddhi Siddhi Metal Impex</t>
  </si>
  <si>
    <t>1 Nova Steel - India page listing Vijayawada | 2 Justdial - flange dealers (Mumbai sellers 'also serve Vijayawada', from Rs 110/kg) | 3-6 Kalikund Steel - SS, super duplex, Monel, Incoloy city pages | 7 AISI 4130 city page (Kalikund) | 8 Steel Pipe Sourcing (astmsteelpipes.com) city page | 9 Diamond Flanges - Kolkata homepage</t>
  </si>
  <si>
    <t>Approval claims (EIL, IBR, ARAMCO) and exact-match titles.</t>
  </si>
  <si>
    <t>Yes (Kalikund material-by-city matrix)</t>
  </si>
  <si>
    <t>No evidence of approvals on the page; 'more than 55 cities in Visakhapatnam'.</t>
  </si>
  <si>
    <t>Kalikund's material x city matrix (hundreds of pages) plus locality stuffing: Kondapalli, Auto Nagar, Mangalagiri, Mallavalli, Gannavaram, Ibrahimpatnam.</t>
  </si>
  <si>
    <t>State only verifiable credentials: GSTIN with portal link, real certificates, real photos.</t>
  </si>
  <si>
    <t>Unreadable keyword lists dated 2021; nothing a buyer can use. Justdial shows Mumbai sellers and a per-kg price anchor - price transparency is expected.</t>
  </si>
  <si>
    <t>Decision for Naharlagun, Pasighat, Tawang and Ziro</t>
  </si>
  <si>
    <t>Kanakbhuvan Industries</t>
  </si>
  <si>
    <t>One strong page with material H2s (MS/SS/alloy) to capture 'ss flanges vijayawada' variants, Amaravati and NTTPS content, the Class 150 vs PN16 drilling guide, and a price section.</t>
  </si>
  <si>
    <t>City pages (pipe fittings / flanges)</t>
  </si>
  <si>
    <t>/vijayawada/</t>
  </si>
  <si>
    <t>Volume of city pages.</t>
  </si>
  <si>
    <t>Its Chennai page ranks for a Kurnool query - the SERP is that thin.</t>
  </si>
  <si>
    <t>flange supplier in Vijayawada</t>
  </si>
  <si>
    <t>Dedicated Kurnool page wins by default once indexed.</t>
  </si>
  <si>
    <t>1 TradeIndia - local distributor (India Pipe &amp; Fitting Store, Tarapet) | 2 Kiran Industries - flange bolts | 3 stainlesssteelscrews.in - flange bolts | 4 OD Engineers - puddle flange (spun template) | 5-8 Justdial - flange / blind / puddle / split flange dealers | 9 Kalikund Steel</t>
  </si>
  <si>
    <t>Partial</t>
  </si>
  <si>
    <t>Steel Pipe Sourcing (astmsteelpipes.com)</t>
  </si>
  <si>
    <t>Directory authority and a genuine local distributor listing; the rest fill gaps.</t>
  </si>
  <si>
    <t>City directory pages</t>
  </si>
  <si>
    <t>Impressions, all 10 URLs (GSC, about 5.5 months)</t>
  </si>
  <si>
    <t>Three intent mismatches (bolts, puddle flange spam).</t>
  </si>
  <si>
    <t>Exact-match URL /vijayawada/flanges.htm.</t>
  </si>
  <si>
    <t>Same URL as above; supplier FAQ answers the 'local dealer?' question honestly.</t>
  </si>
  <si>
    <t>Generic 'stainless steel products in Vijayawada' copy.</t>
  </si>
  <si>
    <t>Specific Vijayawada content (NTTPS, Kondapalli, Amaravati drilling standards).</t>
  </si>
  <si>
    <t>Nascent Fittings</t>
  </si>
  <si>
    <t>Guntur</t>
  </si>
  <si>
    <t>Hierarchical product x city pages</t>
  </si>
  <si>
    <t>flanges manufacturer in Guntur</t>
  </si>
  <si>
    <t>Option A (recommended)</t>
  </si>
  <si>
    <t>Clean URL tree /city/india/{state}/{city}/{category}/{product}.</t>
  </si>
  <si>
    <t>1 IndiaMART - pipe fittings in Guntur | 2 Justdial - aluminium flange distributors (non-local listings) | 3 Snomi (Kolkata) - Guntur in a service list | 4-9 national 'flanges manufacturer in India' pages (Vishal Steel, Petromet, Mesta, Excel Metal, flanges.co, Diamond)</t>
  </si>
  <si>
    <t>No</t>
  </si>
  <si>
    <t>Thin generic text per product with a city name.</t>
  </si>
  <si>
    <t>No dedicated page exists, so Google falls back to national pages and directories.</t>
  </si>
  <si>
    <t>Copy the hierarchy idea (state hub -&gt; city), not the thin product x city pages.</t>
  </si>
  <si>
    <t>Nothing Guntur-specific anywhere on page one.</t>
  </si>
  <si>
    <t>First indexed, well-linked Guntur page with real local substance (cold chain, agro-processing, IBR, capital region) should reach the top 3.</t>
  </si>
  <si>
    <t>MH Infra Project (Ahmedabad)</t>
  </si>
  <si>
    <t>State-level page</t>
  </si>
  <si>
    <t>/guntur/</t>
  </si>
  <si>
    <t>Yellow = choose. Option A: 301 each town to the combined page. Option B: keep as mini-pages - only if the keep-if condition in tab 6 (Option B block) is true. Tabs 2, 5, 6 and 12 follow this cell.</t>
  </si>
  <si>
    <t>One Andhra Pradesh page listing all districts ranks for 'flanges manufacturer in Kurnool'.</t>
  </si>
  <si>
    <t>Generic.</t>
  </si>
  <si>
    <t>Proof that a strong state hub earns city long-tail: build /market-area/andhra-pradesh/.</t>
  </si>
  <si>
    <t>rfpindia.com</t>
  </si>
  <si>
    <t>Programmatic pages for every place on Earth</t>
  </si>
  <si>
    <t>flange supplier in Guntur</t>
  </si>
  <si>
    <t>Sheer volume; the only results for Naharlagun, Pasighat, Tawang and Ziro queries.</t>
  </si>
  <si>
    <t>Pages for Greenland, Okinawa and Nagorno-Karabakh villages - textbook scaled-content abuse.</t>
  </si>
  <si>
    <t>1 aajjo - flange spreader tool | 2 IndiaMART directory | 3 Justdial - aluminium flange distributors | 4 Digvijay Metals - city list | 5 Justdial - CS flange dealers, Ashok Nagar (Mumbai firms listed) | 6 TradeIndia seller list | 7 Sagar Steel India page | 8 IndiaMART category | 9 Skyland Metal</t>
  </si>
  <si>
    <t>Cautionary example: do not keep near-empty town pages; consolidate them.</t>
  </si>
  <si>
    <t>Directory grids and city-name lists.</t>
  </si>
  <si>
    <t>Intent mismatch at #1 (a tool).</t>
  </si>
  <si>
    <t>National 'flanges manufacturer in India' pages (Vishal Steel, Marcel Piping, Sagar Steel, Metalica, Excel Metal ...)</t>
  </si>
  <si>
    <t>Same page; answer the 'local supplier?' question in FAQ 1.</t>
  </si>
  <si>
    <t>Fallback national pages</t>
  </si>
  <si>
    <t>Rank for small-city queries only because no city page exists; long city-name lists in the copy.</t>
  </si>
  <si>
    <t>Nothing city-specific.</t>
  </si>
  <si>
    <t>State</t>
  </si>
  <si>
    <t>Nellore</t>
  </si>
  <si>
    <t>A genuine city page beats them on relevance once it is indexed.</t>
  </si>
  <si>
    <t>flanges manufacturer in Nellore</t>
  </si>
  <si>
    <t>Current URL</t>
  </si>
  <si>
    <t>1 Nascent Fittings - blind flange, Nellore (hierarchical /city/india/andhra-pradesh/nellore/... URL) | 2-9 national pages (Bhansali Techno, Sagar Steel, Marcel Piping, Vishal Steel, Rajtilak, Excel Metal, flanges.co, Diamond)</t>
  </si>
  <si>
    <t>Partial (one product-by-city page)</t>
  </si>
  <si>
    <t>Impr. (no slash)</t>
  </si>
  <si>
    <t>Clean hierarchical URL on Nascent; otherwise national fallbacks.</t>
  </si>
  <si>
    <t>Nascent's page is generic blind-flange text with the city name.</t>
  </si>
  <si>
    <t>Refinery-EPC angle (BPCL Ramayapatnam) plus power and port content; EPC checklist is unique on this SERP.</t>
  </si>
  <si>
    <t>Impr. (slash)</t>
  </si>
  <si>
    <t>/nellore/</t>
  </si>
  <si>
    <t>Impr. total</t>
  </si>
  <si>
    <t>Clicks (no slash)</t>
  </si>
  <si>
    <t>flange supplier in Nellore</t>
  </si>
  <si>
    <t>Tab 1. City pages are a small lever.</t>
  </si>
  <si>
    <t>1 aajjo - display flange | 2 Justdial - tank flange | 3 Justdial - ASA flange exporters | 4 Marcel Piping - city list | 5 Sagar Steel | 6 Wikipedia - Transport in Nellore | 7-8 Snomi GI/MS flange pages | 9 Vishal Steel</t>
  </si>
  <si>
    <t>Clicks (slash)</t>
  </si>
  <si>
    <t>Nothing relevant exists; a Wikipedia transport page ranks.</t>
  </si>
  <si>
    <t>Clicks total</t>
  </si>
  <si>
    <t>Page one is almost entirely off-intent.</t>
  </si>
  <si>
    <t>Same page; very achievable top 3 once indexed.</t>
  </si>
  <si>
    <t>Avg pos. (no slash)</t>
  </si>
  <si>
    <t>Avg pos. (slash)</t>
  </si>
  <si>
    <t>Weighted avg position</t>
  </si>
  <si>
    <t>Kurnool</t>
  </si>
  <si>
    <t>flanges manufacturer in Kurnool</t>
  </si>
  <si>
    <t>Share of impressions</t>
  </si>
  <si>
    <t>1 MH Infra Project (Ahmedabad) - 'Stainless Steel Flanges in Andhra Pradesh' state page listing districts | 2 Ambica Group - city list | 3 TradeIndia | 4-9 national pages</t>
  </si>
  <si>
    <t>Tier</t>
  </si>
  <si>
    <t>Clicks, same period</t>
  </si>
  <si>
    <t>No (a state page ranks)</t>
  </si>
  <si>
    <t>Decision</t>
  </si>
  <si>
    <t>A STATE-level page captures the city query - evidence that a good Andhra Pradesh hub helps every AP city.</t>
  </si>
  <si>
    <t>MH Infra's page is a district list with generic copy.</t>
  </si>
  <si>
    <t>Target URL</t>
  </si>
  <si>
    <t>Kurnool page (pumped storage, irrigation, plate vs forged) plus the AP hub.</t>
  </si>
  <si>
    <t>Priority</t>
  </si>
  <si>
    <t>Why</t>
  </si>
  <si>
    <t>/kurnool/</t>
  </si>
  <si>
    <t>flange supplier in Kurnool</t>
  </si>
  <si>
    <t>1 Digvijay Metals - city list | 2 Kanakbhuvan - India page | 3 TradeIndia | 4 Kanakbhuvan - Chennai page (wrong city) | 5 IndiaMART | 6 Petromet | 7 Vishal Steel | 8 stackshare 'flange supplier in dubai' (junk)</t>
  </si>
  <si>
    <t>Andhra Pradesh</t>
  </si>
  <si>
    <t>Pure fallback.</t>
  </si>
  <si>
    <t>Tab 1.</t>
  </si>
  <si>
    <t>A Chennai page and a junk page rank for Kurnool.</t>
  </si>
  <si>
    <t>Same page; top 3 achievable.</t>
  </si>
  <si>
    <t>Itanagar</t>
  </si>
  <si>
    <t>flanges manufacturer in Itanagar</t>
  </si>
  <si>
    <t>Impressions per month</t>
  </si>
  <si>
    <t>1-9 national 'flanges manufacturer in India' pages only (Metalica Forging, Marcel, Vishal, Sagar, Metal Forge India, Excel Metal, flanges.co, Induskart, Diamond)</t>
  </si>
  <si>
    <t>No competitor has an Itanagar page.</t>
  </si>
  <si>
    <t>-</t>
  </si>
  <si>
    <t>Remax already shows at ~2.8 in GSC; a better page keeps it there. Demand is tiny.</t>
  </si>
  <si>
    <t>/itanagar/</t>
  </si>
  <si>
    <t>flange supplier in Itanagar</t>
  </si>
  <si>
    <t>1 aajjo - refractory anchor | 2 Ananka | 3 TradeIndia | 4 Metalica | 5 IndiaMART | 6 Sagar Steel | 7 Timex Metals | 8 Metal Forge India | 9 Vishal Steel</t>
  </si>
  <si>
    <t>Fallback only.</t>
  </si>
  <si>
    <t>Same page.</t>
  </si>
  <si>
    <t>Naharlagun</t>
  </si>
  <si>
    <t>flanges manufacturer in Naharlagun</t>
  </si>
  <si>
    <t>1 Meghmani Metal - 'Naharlagun' tag archive, page 6 | 2-9 national pages</t>
  </si>
  <si>
    <t>Tag-archive spam.</t>
  </si>
  <si>
    <t>Covered by the Itanagar &amp; Naharlagun page (Option A).</t>
  </si>
  <si>
    <t>Decision for Naharlagun, Pasighat, Tawang, Ziro</t>
  </si>
  <si>
    <t>Change it in tab 1, cell C5.</t>
  </si>
  <si>
    <t>Pages READY to publish</t>
  </si>
  <si>
    <t>flange supplier in Naharlagun</t>
  </si>
  <si>
    <t>Only rfpindia.com programmatic pages for other places: Nagaon (Assam), Naha (Okinawa), Dadra &amp; Nagar Haveli, Tiha Bargaului (Romania), Ikerasassuaq (Greenland), Susa (Nagorno-Karabakh) ...</t>
  </si>
  <si>
    <t>No page exists for the town at all.</t>
  </si>
  <si>
    <t>The only 'competitor' is a site generating pages for every place on Earth - the pattern Google's scaled-content policy targets.</t>
  </si>
  <si>
    <t>Do not compete with a standalone page; Itanagar page covers it.</t>
  </si>
  <si>
    <t>Tab 6 column Z. A page goes live only when it says READY.</t>
  </si>
  <si>
    <t>Page sections still holding a [CLIENT], [CONFIRM] or [DEV] marker</t>
  </si>
  <si>
    <t>Pasighat</t>
  </si>
  <si>
    <t>Counted per page in tab 6 column Q - they clear as tab 15 is filled.</t>
  </si>
  <si>
    <t>flanges manufacturer in Pasighat</t>
  </si>
  <si>
    <t>Client inputs still missing</t>
  </si>
  <si>
    <t>Noise: a 2022 Debian mailing-list spam email, an enggpro directory entry, a Korean flange maker, rfpindia pages for Passy (France), Cerro de Pasco (Peru), Pasadena (US), Pauri ...</t>
  </si>
  <si>
    <t>No relevant results exist.</t>
  </si>
  <si>
    <t>Arunachal hub section (Option A).</t>
  </si>
  <si>
    <t>Tab 15.</t>
  </si>
  <si>
    <t>A</t>
  </si>
  <si>
    <t>Rebuild</t>
  </si>
  <si>
    <t>...of which block publishing</t>
  </si>
  <si>
    <t>P1</t>
  </si>
  <si>
    <t>The only contested SERP of the ten (4 templated competitor pages + directories). Biggest demand base: RINL, HPCL, ports, Pharma City, and AM/NS India's 8.2 MTPA plant at Anakapalli. Most impressions of the ten.</t>
  </si>
  <si>
    <t>flange supplier in Pasighat</t>
  </si>
  <si>
    <t>rfpindia pages for Panipat, Passy, Cerro de Pasco, Pauri, Pasadena (MD and TX), Pachmarhi, Paucarpata, Passirana di Rho</t>
  </si>
  <si>
    <t>Arunachal hub section.</t>
  </si>
  <si>
    <t>Tickets done</t>
  </si>
  <si>
    <t>Tab 16.</t>
  </si>
  <si>
    <t>P0 tickets still open</t>
  </si>
  <si>
    <t>Tawang</t>
  </si>
  <si>
    <t>flanges manufacturer in Tawang</t>
  </si>
  <si>
    <t>enggpro directory, Debian spam email, Product Hunt profile, rfpindia 'Pipe Fittings Supplier in Tawang' (the only Tawang-named page), enggpro blog, rfpindia pages for Tungkang, Taywarah, Taungdwingyi, Tavush, Plateaux (Togo)</t>
  </si>
  <si>
    <t>One programmatic page (rfpindia)</t>
  </si>
  <si>
    <t>Tab 16 - nothing new publishes while C-01 and C-02 are open.</t>
  </si>
  <si>
    <t>Arunachal hub section with the cold-service and winter-logistics angle.</t>
  </si>
  <si>
    <t>B</t>
  </si>
  <si>
    <t>Photos live</t>
  </si>
  <si>
    <t>Kalikund material-by-city pages and Justdial rank; no strong local page. Real demand: thermal power at Ibrahimpatnam and Amaravati capital works (World Bank + ADB US$1.6 bn committed).</t>
  </si>
  <si>
    <t>Tab 13.</t>
  </si>
  <si>
    <t>flange supplier in Tawang</t>
  </si>
  <si>
    <t>P2</t>
  </si>
  <si>
    <t>1 rfpindia - Pipe Fittings Supplier in Tawang | 2-10 rfpindia pages for Titwan, Tungkang, Keelung, Taywarah, Tutume, Tov (Mongolia), Takaev, Tabora ...</t>
  </si>
  <si>
    <t>One programmatic page</t>
  </si>
  <si>
    <t>Claims verified</t>
  </si>
  <si>
    <t>No dedicated competitor page ranks. Cold-chain ammonia plant rooms and mill boilers give a distinct, genuinely useful angle.</t>
  </si>
  <si>
    <t>Ziro</t>
  </si>
  <si>
    <t>Tab 17 section D.</t>
  </si>
  <si>
    <t>BPCL's 9-12 MMTPA refinery near Ramayapatnam (6,000 acres allotted Oct 2025) will pull EPC flange demand; no dedicated supplier page ranks.</t>
  </si>
  <si>
    <t>flanges manufacturer in Ziro</t>
  </si>
  <si>
    <t>Debian spam email, enggpro directory, a Chinese flange maker (Jiangyin Zeli), rfpindia pages for Ozoir-la-Ferriere, Mashonaland East, Kushiro, Zaranj, Isiro, Zareh Sharan, a Viraj listing on expometals</t>
  </si>
  <si>
    <t>What this workbook decides</t>
  </si>
  <si>
    <t>No dedicated competitor page (an Ahmedabad firm's Andhra Pradesh state page ranks). Greenko Pinnapuram pumped storage + lift irrigation = large-bore demand.</t>
  </si>
  <si>
    <t>Arunachal Pradesh</t>
  </si>
  <si>
    <t>Rebuild 6 city pages on one template with genuinely local content: Visakhapatnam, Vijayawada, Guntur, Nellore, Kurnool, and Itanagar &amp; Naharlagun.</t>
  </si>
  <si>
    <t>flange supplier in Ziro</t>
  </si>
  <si>
    <t>rfpindia pages only: Ozoir-la-Ferriere, Mashonaland East, Risch-Rotkreuz, Matabeleland North, Zarqa, Isiro, Zadar, Kushiro, Zaranj, Zareh Sharan</t>
  </si>
  <si>
    <t>Merge the 4 smallest towns (Option A): Naharlagun into /itanagar/; Pasighat, Tawang and Ziro into the Arunachal Pradesh hub - their keywords stay covered.</t>
  </si>
  <si>
    <t>Add /market-area/ plus two state hubs, so state-level searches land on a hub and every city page has a parent.</t>
  </si>
  <si>
    <t>C</t>
  </si>
  <si>
    <t>Rebuild as 'Itanagar &amp; Naharlagun'</t>
  </si>
  <si>
    <t>P3</t>
  </si>
  <si>
    <t>Capture leads through forms only: a 2-step quote form in the hero, a full RFQ at #rfq, a gated chart, and hidden fields that tag each lead with its city.</t>
  </si>
  <si>
    <t>Near-zero competition and small demand. One honest page for the Itanagar-Naharlagun capital region beats two thin ones.</t>
  </si>
  <si>
    <t>/naharlagun/</t>
  </si>
  <si>
    <t>Keywords at difficulty 1-2</t>
  </si>
  <si>
    <t>D (merge)</t>
  </si>
  <si>
    <t>Average difficulty</t>
  </si>
  <si>
    <t>Order of work</t>
  </si>
  <si>
    <t>Client: choose Option A or B (tab 1, cell C5) and fill the yellow cells in tab 15 - blocking ones first.</t>
  </si>
  <si>
    <t>Developer: ship DL, C-00, C-01 and C-02 in tab 16 before touching any city page.</t>
  </si>
  <si>
    <t>Client: one factory shoot and five short videos (tab 13).</t>
  </si>
  <si>
    <t>Developer: build the template once (tab 7), then /market-area/ and the hubs, then the P1 city pages - copy from tabs 8, 8b and 9, forms from tab 10, schema from tab 11, links, 301s and sitemap from tab 12.</t>
  </si>
  <si>
    <t>Twin town of Itanagar in one capital region; one page covers both honestly.</t>
  </si>
  <si>
    <t>Publish a page only when tab 6 column Z says READY; run the QA script (tab 16 section B) after every deploy.</t>
  </si>
  <si>
    <t>/pasighat/</t>
  </si>
  <si>
    <t>Difficulty scale</t>
  </si>
  <si>
    <t>Request indexing in the tab 12 order; review at W6 and W10 against the KPIs in tab 16.</t>
  </si>
  <si>
    <t>Tab guide (click a tab name to jump to it)</t>
  </si>
  <si>
    <t>1 = no relevant competitor page; 3 = templated/national pages only; 5 = strong dedicated local pages + directories. Judged from the result sets above, not from a tool score.</t>
  </si>
  <si>
    <t>Tab</t>
  </si>
  <si>
    <t>What is in it</t>
  </si>
  <si>
    <t>Who uses it</t>
  </si>
  <si>
    <t>1. Decision Summary</t>
  </si>
  <si>
    <t>No buyer base to write about; SERP holds only spam pages for other places.</t>
  </si>
  <si>
    <t>/tawang/</t>
  </si>
  <si>
    <t>GSC data for the 10 URLs, the decision per URL, and the Option A / B switch</t>
  </si>
  <si>
    <t>Akshat, client</t>
  </si>
  <si>
    <t>4. Viraj &amp; Sagar Steel benchmark - what to copy, what to skip</t>
  </si>
  <si>
    <t>Viraj = content depth (capability disclosure). Sagar = educational tables. Remax adopts the depth and the education, fixes the errors, and keeps forms-only lead capture.</t>
  </si>
  <si>
    <t>2. SERP Benchmark</t>
  </si>
  <si>
    <t>Element</t>
  </si>
  <si>
    <t>Viraj (viraj.com/stainless-steel-flanges/)</t>
  </si>
  <si>
    <t>Sagar Steel (sagarsteel.net/flanges-manufacturer-india/)</t>
  </si>
  <si>
    <t>The 20 searches: who ranks, why, and how Remax outranks them</t>
  </si>
  <si>
    <t>What Remax should publish</t>
  </si>
  <si>
    <t>Where</t>
  </si>
  <si>
    <t>Adopt?</t>
  </si>
  <si>
    <t>Akshat</t>
  </si>
  <si>
    <t>Capability disclosure</t>
  </si>
  <si>
    <t>Integrated forge shop: cutting, forging, ring rolling, CNC lathes, CNC drilling, high-capacity forging press, mobile manipulator; in-house heat treatment and laboratory.</t>
  </si>
  <si>
    <t>3. Competitor Patterns</t>
  </si>
  <si>
    <t>Generic claims ('best state of technology').</t>
  </si>
  <si>
    <t>Machine list with photos: forging press or hammer (tonnage), CNC lathes (count, max swing), drilling/VMC, heat-treatment furnace, testing equipment - only what exists.</t>
  </si>
  <si>
    <t>/manufacturing/ page (new or existing) + 120-word summary on city pages</t>
  </si>
  <si>
    <t>Negligible flange demand; only one programmatic competitor page exists.</t>
  </si>
  <si>
    <t>YES</t>
  </si>
  <si>
    <t>Capacity &amp; size range</t>
  </si>
  <si>
    <t>18,000 MT per annum; stainless flanges from 1/2" to 40".</t>
  </si>
  <si>
    <t>1/2" (15 NB) to 48" (1200 NB), DN10-DN5000.</t>
  </si>
  <si>
    <t>/ziro/</t>
  </si>
  <si>
    <t>Monthly capacity and size range per flange type and standard.</t>
  </si>
  <si>
    <t>The page patterns that rank and their weaknesses</t>
  </si>
  <si>
    <t>Spec tables on product pages; one line on city pages</t>
  </si>
  <si>
    <t>Testing list</t>
  </si>
  <si>
    <t>PMI spectrometer, ultrasonic, tensile, impact (room temp and sub-zero), hardness, microscopy, IGC, dye penetrant.</t>
  </si>
  <si>
    <t>'Strict quality testing'.</t>
  </si>
  <si>
    <t>Honest split between in-house tests and outsourced/TPI tests; certificate type (EN 10204 3.1/3.2).</t>
  </si>
  <si>
    <t>Quality module (shared) + FAQ</t>
  </si>
  <si>
    <t>Approvals &amp; certificates</t>
  </si>
  <si>
    <t>More than 100 approvals and certifications.</t>
  </si>
  <si>
    <t>ISO 9001:2008 (a withdrawn edition).</t>
  </si>
  <si>
    <t>Only real, current certificates. If there are none yet, show GSTIN + portal link and real factory media instead of invented badges.</t>
  </si>
  <si>
    <t>Trust strip</t>
  </si>
  <si>
    <t>Product-type explanations</t>
  </si>
  <si>
    <t>Accurate engineering descriptions of each flange type.</t>
  </si>
  <si>
    <t>Short, generic.</t>
  </si>
  <si>
    <t>Already done: Remax product pages run 6,500-7,800 words. Link to them; do not repeat on city pages.</t>
  </si>
  <si>
    <t>4. Viraj &amp; Sagar Benchmark</t>
  </si>
  <si>
    <t>Product pages</t>
  </si>
  <si>
    <t>no</t>
  </si>
  <si>
    <t>Specification table</t>
  </si>
  <si>
    <t>Types, classes, sizes, facings, grades in one table.</t>
  </si>
  <si>
    <t>Same format, correct data, on product/material pages; a short filtered version on each city page (tab 8b).</t>
  </si>
  <si>
    <t>What to copy from the two benchmark sites - and what not to</t>
  </si>
  <si>
    <t>Product pages / city pages</t>
  </si>
  <si>
    <t>verify</t>
  </si>
  <si>
    <t>Chemistry &amp; mechanical tables</t>
  </si>
  <si>
    <t>Akshat, writer</t>
  </si>
  <si>
    <t>Present but wrong: tensile and yield columns are swapped on all 7 rows (e.g. F11 shown as tensile 205 / yield 415; ASTM A182 F11 Class 1 is tensile &gt;= 415 MPa, yield &gt;= 205 MPa); F12 and F22 chromium shown as 4-6% (F12 is 0.80-1.25%, F22 is 2.00-2.50%); pipe specs A335, A691 and SA 790 listed as flange grades.</t>
  </si>
  <si>
    <t>Use tab 14 values, cite the ASTM edition, never copy competitor tables.</t>
  </si>
  <si>
    <t>Material pages</t>
  </si>
  <si>
    <t>Commercial terms</t>
  </si>
  <si>
    <t>Negligible demand; worst position of the ten (16.5).</t>
  </si>
  <si>
    <t>Payment modes (LC, TT, cheque), packaging, port of dispatch (Mumbai / Kalamboli), GST rate.</t>
  </si>
  <si>
    <t>All 10 URLs</t>
  </si>
  <si>
    <t>Payment terms, packaging, documents, dispatch point and per-city transit time.</t>
  </si>
  <si>
    <t>City pages - delivery section</t>
  </si>
  <si>
    <t>5. Keyword Map</t>
  </si>
  <si>
    <t>Supply record by city</t>
  </si>
  <si>
    <t>'Product supplied x city' table.</t>
  </si>
  <si>
    <t>Only real past supplies, anonymised (e.g. 'Class 300 weld neck flanges for a Vizag refinery contractor, 2025'). Never invent.</t>
  </si>
  <si>
    <t>City pages (optional block)</t>
  </si>
  <si>
    <t>YES (real only)</t>
  </si>
  <si>
    <t>Every keyword mapped to one URL and one place on the page</t>
  </si>
  <si>
    <t>FAQs</t>
  </si>
  <si>
    <t>4 generic FAQs with brand plugs.</t>
  </si>
  <si>
    <t>None on the flange page.</t>
  </si>
  <si>
    <t>6-8 city-specific FAQs that answer buyer questions (tab 9).</t>
  </si>
  <si>
    <t>City pages</t>
  </si>
  <si>
    <t>Catalogue / gated download</t>
  </si>
  <si>
    <t>PDF catalogues plus a 'Download PDF' form modal that captures details.</t>
  </si>
  <si>
    <t>Size-chart page.</t>
  </si>
  <si>
    <t>Gated flange weight &amp; dimension chart PDF (email capture) and catalogue.</t>
  </si>
  <si>
    <t>Tab 10 (Form C)</t>
  </si>
  <si>
    <t>YES (PDF)</t>
  </si>
  <si>
    <t>Real imagery</t>
  </si>
  <si>
    <t>Red-hot forging shots, product galleries.</t>
  </si>
  <si>
    <t>6. On-Page Specs</t>
  </si>
  <si>
    <t>Warehouse stock photos.</t>
  </si>
  <si>
    <t>Factory photos and videos (incoming) - different ones per city page.</t>
  </si>
  <si>
    <t>Tab 13</t>
  </si>
  <si>
    <t>Contact model</t>
  </si>
  <si>
    <t>Phone and email in the header.</t>
  </si>
  <si>
    <t>Three phone numbers, two WhatsApp links, a maths CAPTCHA on the form.</t>
  </si>
  <si>
    <t>Forms only - written quotes as a selling point. No tel:, no WhatsApp, no phone in schema.</t>
  </si>
  <si>
    <t>Site-wide</t>
  </si>
  <si>
    <t>Titles, metas, H1s, word floors, links, schema - and the READY gate</t>
  </si>
  <si>
    <t>Location pages</t>
  </si>
  <si>
    <t>None.</t>
  </si>
  <si>
    <t>'Cities we supply' lists and many thin city pages.</t>
  </si>
  <si>
    <t>Fewer, deeper city pages + state hubs; merge towns with no buyers.</t>
  </si>
  <si>
    <t>Tabs 1 and 12</t>
  </si>
  <si>
    <t>Developer, Akshat</t>
  </si>
  <si>
    <t>Do not copy</t>
  </si>
  <si>
    <t>7. Page Template (Dev)</t>
  </si>
  <si>
    <t>The 14-section template, built once</t>
  </si>
  <si>
    <t>WhatsApp and tel: CTAs (Sagar) - conflicts with the forms-only rule.</t>
  </si>
  <si>
    <t>Developer</t>
  </si>
  <si>
    <t>Math captcha on the form (Sagar) - adds friction; use an invisible check (Turnstile or reCAPTCHA v3) plus a honeypot (tab 10).</t>
  </si>
  <si>
    <t>8. City Content (Paste)</t>
  </si>
  <si>
    <t>Sagar's mechanical and chemical tables - they contain errors (tensile and yield swapped, wrong chromium for F12/F22, pipe specs listed as flange grades). See tab 14 before publishing any table.</t>
  </si>
  <si>
    <t>Paste-ready copy per section</t>
  </si>
  <si>
    <t>Outdated certification claims - Sagar still cites ISO 9001:2008, an edition replaced by ISO 9001:2015 (2008 certificates lapsed in September 2018). Remax shows only current, real certificates.</t>
  </si>
  <si>
    <t>8b. Page Tables (Paste)</t>
  </si>
  <si>
    <t>Per month</t>
  </si>
  <si>
    <t>Unverifiable scale claims ('largest', 'more than 55 cities in Visakhapatnam') seen on competitor pages - state facts the client can prove.</t>
  </si>
  <si>
    <t>Local-demand and product-range tables</t>
  </si>
  <si>
    <t>9. FAQs (Paste)</t>
  </si>
  <si>
    <t>FAQ copy - also feeds the FAQ schema</t>
  </si>
  <si>
    <t>Click-through rate</t>
  </si>
  <si>
    <t>10. Lead Capture Forms</t>
  </si>
  <si>
    <t>Forms A, B, C; hidden fields; attribution script; emails</t>
  </si>
  <si>
    <t>What this means</t>
  </si>
  <si>
    <t>11. Schema JSON-LD</t>
  </si>
  <si>
    <t>Live JSON-LD per page (copy the cell value)</t>
  </si>
  <si>
    <t>12. Links-Redirects-Index</t>
  </si>
  <si>
    <t>Internal links, 301s, sitemap, indexing order, canonical rules</t>
  </si>
  <si>
    <t>13. Media Plan</t>
  </si>
  <si>
    <t>The biggest lead lever is still the flange product estate: 53 finished product pages, 2 indexed (daily log A-64). Ship C-01 (trailingSlash: true) and C-02 (strip tel:/WhatsApp) before any rebuilt city page goes live - otherwise the new pages inherit the same link fault.</t>
  </si>
  <si>
    <t>Outside Visakhapatnam the SERPs are weak: no dedicated competitor page ranks for Guntur, Kurnool or Itanagar, and Nellore has one product-by-city page. Page-one positions are realistic once the pages are indexed and linked - not guaranteed (tab 2).</t>
  </si>
  <si>
    <t>15 photos, 5 videos, captions, image specs</t>
  </si>
  <si>
    <t>Rebuild 6 pages on one template (tab 7) with genuinely local content (tabs 8-9). Merge the 4 smallest towns (Option A) - their keywords stay covered on the target pages (tab 5).</t>
  </si>
  <si>
    <t>Client, developer</t>
  </si>
  <si>
    <t>Nothing publishes while tab 6 says NOT READY: every [CLIENT] and [CONFIRM] marker must be replaced with real data from tab 15, or the sentence deleted. Never guess capabilities, prices or approvals.</t>
  </si>
  <si>
    <t>14. Reference Data</t>
  </si>
  <si>
    <t>Ratings, properties, drilling, standards - and errors not to copy</t>
  </si>
  <si>
    <t>Writer</t>
  </si>
  <si>
    <t>15. Client Inputs</t>
  </si>
  <si>
    <t>The facts only the client can give (yellow cells)</t>
  </si>
  <si>
    <t>Client</t>
  </si>
  <si>
    <t>16. Tests &amp; Rollout</t>
  </si>
  <si>
    <t>Tickets with acceptance tests, QA script, weekly plan, KPIs</t>
  </si>
  <si>
    <t>17. Sources</t>
  </si>
  <si>
    <t>Every source, and the claims still to verify</t>
  </si>
  <si>
    <t>Colour key</t>
  </si>
  <si>
    <t>Sample</t>
  </si>
  <si>
    <t>Yellow fill = choose or fill in (client, Akshat, developer status cells)</t>
  </si>
  <si>
    <t>Light-yellow fill = the cell still contains a [CLIENT ...], [CONFIRM] or [DEV] marker - never publish it</t>
  </si>
  <si>
    <t>Blue text = hardcoded number or assumption - change it if wrong and dependent cells recalculate</t>
  </si>
  <si>
    <t>Green text = pulled from another tab by formula - edit the source tab, not this cell</t>
  </si>
  <si>
    <t>Green fill = check passes (OK / READY / PASS / Done)</t>
  </si>
  <si>
    <t>Red fill = check fails or is blocked</t>
  </si>
  <si>
    <t>P0 · P1 · P2 · P3</t>
  </si>
  <si>
    <t>Priority chips: P0 = blocks everything, P1 = first wave, P2 = second wave, P3 = Arunachal wave</t>
  </si>
  <si>
    <t>Rules for every page</t>
  </si>
  <si>
    <t>•</t>
  </si>
  <si>
    <t>Never publish a [CLIENT], [CONFIRM] or [DEV] marker. Replace it with the client's real answer or the real link, or delete the sentence.</t>
  </si>
  <si>
    <t>Never invent capabilities, prices, approvals, customers or transit times. A capability goes on a page only after tab 15 says yes.</t>
  </si>
  <si>
    <t>One URL per city. State-level searches go to the hub. No separate manufacturer / supplier / material pages per city.</t>
  </si>
  <si>
    <t>No Product, Offer or LocalBusiness schema on city pages - the business has one location, in Mumbai, and the pages say so honestly.</t>
  </si>
  <si>
    <t>The same template extends to the next industrial cities later; small towns merge into their state hub.</t>
  </si>
  <si>
    <t>5. Keyword map - every keyword points to ONE URL per city (no separate manufacturer / supplier / material pages)</t>
  </si>
  <si>
    <t>No volume column on purpose: the GSC export shows zero city-level queries for these pages in about 5.5 months, and third-party volume estimates at city level are unreliable. Treat every row as low-volume, high-intent.</t>
  </si>
  <si>
    <t>Page</t>
  </si>
  <si>
    <t>6. On-page specs - one row per URL. A page publishes only when column Z says READY.</t>
  </si>
  <si>
    <t>Type</t>
  </si>
  <si>
    <t>Intent</t>
  </si>
  <si>
    <t>Title &lt;= 60 chars, meta 120-160 chars. Word floors stop thin pages - they are not targets, never pad. Word counts and open placeholders are live formulas over tabs 8, 8b and 9.</t>
  </si>
  <si>
    <t>Where it goes on the page</t>
  </si>
  <si>
    <t>Page key</t>
  </si>
  <si>
    <t>Note</t>
  </si>
  <si>
    <t>Canonical URL (absolute, slash form)</t>
  </si>
  <si>
    <t>Build status</t>
  </si>
  <si>
    <t>Title tag</t>
  </si>
  <si>
    <t>Title chars</t>
  </si>
  <si>
    <t>Title check</t>
  </si>
  <si>
    <t>flange supplier in visakhapatnam</t>
  </si>
  <si>
    <t>Meta description</t>
  </si>
  <si>
    <t>Primary</t>
  </si>
  <si>
    <t>Meta chars</t>
  </si>
  <si>
    <t>Commercial - find a supplier</t>
  </si>
  <si>
    <t>Meta check</t>
  </si>
  <si>
    <t>H1</t>
  </si>
  <si>
    <t>Title (front), H1, FAQ 1</t>
  </si>
  <si>
    <t>Subline under H1</t>
  </si>
  <si>
    <t>Word floor (no padding)</t>
  </si>
  <si>
    <t>Words drafted (tabs 8+8b+9)</t>
  </si>
  <si>
    <t>Word check</t>
  </si>
  <si>
    <t>Open placeholders</t>
  </si>
  <si>
    <t>Uniqueness target</t>
  </si>
  <si>
    <t>Internal links OUT (add these)</t>
  </si>
  <si>
    <t>flanges manufacturer in visakhapatnam</t>
  </si>
  <si>
    <t>Internal links IN (must exist at launch)</t>
  </si>
  <si>
    <t>Commercial - find a maker</t>
  </si>
  <si>
    <t>Photos (tab 13)</t>
  </si>
  <si>
    <t>Title (after the |), subline under H1 ('flanges manufacturer in Mumbai supplying ...'), meta description</t>
  </si>
  <si>
    <t>Video (tab 13)</t>
  </si>
  <si>
    <t>Honest framing: manufacturer in Mumbai, supplier to the city.</t>
  </si>
  <si>
    <t>Schema (tab 11)</t>
  </si>
  <si>
    <t>Breadcrumb</t>
  </si>
  <si>
    <t>Meta robots</t>
  </si>
  <si>
    <t>Ready to publish?</t>
  </si>
  <si>
    <t>flange manufacturer in visakhapatnam</t>
  </si>
  <si>
    <t>Variant</t>
  </si>
  <si>
    <t>Commercial</t>
  </si>
  <si>
    <t>vizag</t>
  </si>
  <si>
    <t>Covered by the two primary placements</t>
  </si>
  <si>
    <t>No separate URL.</t>
  </si>
  <si>
    <t>https://remaxforge.com/visakhapatnam/</t>
  </si>
  <si>
    <t>REBUILD</t>
  </si>
  <si>
    <t>flanges dealer in visakhapatnam</t>
  </si>
  <si>
    <t>Variant (dealer / stockist)</t>
  </si>
  <si>
    <t>Commercial - local stock</t>
  </si>
  <si>
    <t>FAQ 1 answers it honestly: shipped direct from Mumbai, no local dealer</t>
  </si>
  <si>
    <t>Flange Supplier in Visakhapatnam | Flanges Manufacturer</t>
  </si>
  <si>
    <t>Do not claim a local stockist.</t>
  </si>
  <si>
    <t>ms flanges visakhapatnam</t>
  </si>
  <si>
    <t>Material</t>
  </si>
  <si>
    <t>Range intro ('Carbon-steel (MS) flanges in ASTM A105') + demand table</t>
  </si>
  <si>
    <t>ss flanges visakhapatnam</t>
  </si>
  <si>
    <t>Range intro (SS 304/304L, 316/316L) + materials section</t>
  </si>
  <si>
    <t>flange price visakhapatnam</t>
  </si>
  <si>
    <t>Price</t>
  </si>
  <si>
    <t>Commercial - price check</t>
  </si>
  <si>
    <t>Section 'Flange prices for Visakhapatnam delivery'</t>
  </si>
  <si>
    <t>Needs the client's dated Rs/kg bands (tab 15) to compete with directory prices.</t>
  </si>
  <si>
    <t>duplex flanges visakhapatnam</t>
  </si>
  <si>
    <t>Material (niche)</t>
  </si>
  <si>
    <t>Materials section (seawater: super duplex F53/F55 or 6Mo F44; duplex F51/F60 for splash zones) + FAQ 4</t>
  </si>
  <si>
    <t>nace flanges visakhapatnam</t>
  </si>
  <si>
    <t>Spec</t>
  </si>
  <si>
    <t>Materials section (sour service) + FAQ 5 + link to the sour-service product page</t>
  </si>
  <si>
    <t>Forged flanges for Vizag and Anakapalli steel plants, the refinery, ports and Pharma City. CS, SS, alloy and NACE grades from Mumbai. Written quotes.</t>
  </si>
  <si>
    <t>flanges for steel plant visakhapatnam</t>
  </si>
  <si>
    <t>Industry</t>
  </si>
  <si>
    <t>Demand table row 1 + FAQ 3</t>
  </si>
  <si>
    <t>flange supplier gajuwaka</t>
  </si>
  <si>
    <t>Local area</t>
  </si>
  <si>
    <t>Section 'Areas we deliver in and around Visakhapatnam' + demand table</t>
  </si>
  <si>
    <t>Mention in text only - no locality pages.</t>
  </si>
  <si>
    <t>flange supplier autonagar visakhapatnam</t>
  </si>
  <si>
    <t>flange supplier duvvada</t>
  </si>
  <si>
    <t>Flange Supplier in Visakhapatnam (Vizag)</t>
  </si>
  <si>
    <t>Flanges manufacturer in Mumbai supplying Visakhapatnam and Anakapalli steel, refinery, port, power and pharma sites.</t>
  </si>
  <si>
    <t>flange supplier parawada</t>
  </si>
  <si>
    <t>flange supplier anakapalli</t>
  </si>
  <si>
    <t>flange supplier in vizag</t>
  </si>
  <si>
    <t>Alt city name</t>
  </si>
  <si>
    <t>H1 '(Vizag)' + meta description</t>
  </si>
  <si>
    <t>flange supplier in vijayawada</t>
  </si>
  <si>
    <t>flanges manufacturer in vijayawada</t>
  </si>
  <si>
    <t>flange manufacturer in vijayawada</t>
  </si>
  <si>
    <t>flanges dealer in vijayawada</t>
  </si>
  <si>
    <t>ms flanges vijayawada</t>
  </si>
  <si>
    <t>ss flanges vijayawada</t>
  </si>
  <si>
    <t>flange price vijayawada</t>
  </si>
  <si>
    <t>Section 'Pricing water-project and power-plant flanges'</t>
  </si>
  <si>
    <t>pn16 flanges vijayawada</t>
  </si>
  <si>
    <t>Materials section 'Class 150 or PN16?' + FAQ 3</t>
  </si>
  <si>
    <t>flanges for amaravati projects</t>
  </si>
  <si>
    <t>Industry / project</t>
  </si>
  <si>
    <t>Demand table (capital city construction) + FAQ 2</t>
  </si>
  <si>
    <t>f22 flanges vijayawada</t>
  </si>
  <si>
    <t>Materials section (power-plant steam) + FAQ 4</t>
  </si>
  <si>
    <t>flange supplier kondapalli</t>
  </si>
  <si>
    <t>Section 'Areas we deliver around Vijayawada' + demand table</t>
  </si>
  <si>
    <t>flange supplier ibrahimpatnam</t>
  </si>
  <si>
    <t>flange supplier autonagar vijayawada</t>
  </si>
  <si>
    <t>flange supplier amaravati</t>
  </si>
  <si>
    <t>&gt;= 65% unique 5-word shingles; max similarity to any other city page &lt;= 0.25</t>
  </si>
  <si>
    <t>flange supplier gannavaram</t>
  </si>
  <si>
    <t>Flange supply across Andhra Pradesh → /market-area/andhra-pradesh/
Nellore (refinery projects) → /nellore/
Sour-service NACE flanges → /products/flanges/sour-service-nace-flange/
Flanges for oil &amp; gas → /industries/oil-and-gas/
Pipe flanges guide → /blogs/pipe-flanges-guide/
+ 7 product-type links (tab 8b)</t>
  </si>
  <si>
    <t>AP hub (city section + list); /nellore/ related links; /industries/oil-and-gas/ 'Where we supply' block (optional)</t>
  </si>
  <si>
    <t>P03, P07, P09</t>
  </si>
  <si>
    <t>flange supplier in guntur</t>
  </si>
  <si>
    <t>V1</t>
  </si>
  <si>
    <t>WebPage, BreadcrumbList, Service, FAQPage (+ sitewide Organization, WebSite, Person)</t>
  </si>
  <si>
    <t>Home › Areas We Supply › Andhra Pradesh › Visakhapatnam</t>
  </si>
  <si>
    <t>index, follow</t>
  </si>
  <si>
    <t>flanges manufacturer in guntur</t>
  </si>
  <si>
    <t>flange manufacturer in guntur</t>
  </si>
  <si>
    <t>flanges dealer in guntur</t>
  </si>
  <si>
    <t>ms flanges guntur</t>
  </si>
  <si>
    <t>ss flanges guntur</t>
  </si>
  <si>
    <t>flange price guntur</t>
  </si>
  <si>
    <t>Section 'What drives the price of refrigeration and boiler flanges'</t>
  </si>
  <si>
    <t>ammonia refrigeration flanges guntur</t>
  </si>
  <si>
    <t>Materials section + demand table (cold chain)</t>
  </si>
  <si>
    <t>ibr flanges guntur</t>
  </si>
  <si>
    <t>Materials section (IBR paragraph) - only if IBR supply is confirmed</t>
  </si>
  <si>
    <t>lf2 flanges guntur</t>
  </si>
  <si>
    <t>Materials section (below -29 °C)</t>
  </si>
  <si>
    <t>7. Page template for the developer - 14 sections, same order on every city page</t>
  </si>
  <si>
    <t>flange supplier mangalagiri</t>
  </si>
  <si>
    <t>Section 'Areas we deliver around Guntur' + demand table</t>
  </si>
  <si>
    <t>Build once as a component, fill from tabs 8, 8b and 9. Hubs use sections 1-3, their own sections, then 7, 11-14.</t>
  </si>
  <si>
    <t>flange supplier tadepalli</t>
  </si>
  <si>
    <t>flange supplier tenali</t>
  </si>
  <si>
    <t>Section</t>
  </si>
  <si>
    <t>What goes in it</t>
  </si>
  <si>
    <t>Content source</t>
  </si>
  <si>
    <t>Words</t>
  </si>
  <si>
    <t>flange supplier in nellore</t>
  </si>
  <si>
    <t>Uniqueness</t>
  </si>
  <si>
    <t>HTML / component notes</t>
  </si>
  <si>
    <t>Lead-capture role</t>
  </si>
  <si>
    <t>flanges manufacturer in nellore</t>
  </si>
  <si>
    <t>flange manufacturer in nellore</t>
  </si>
  <si>
    <t>Home › Areas We Supply › {State} › {City}</t>
  </si>
  <si>
    <t>Tab 8 'Breadcrumb' row; BreadcrumbList in tab 11</t>
  </si>
  <si>
    <t>5</t>
  </si>
  <si>
    <t>Template</t>
  </si>
  <si>
    <t>flanges dealer in nellore</t>
  </si>
  <si>
    <t>&lt;nav aria-label="Breadcrumb"&gt;&lt;ol&gt; … &lt;/ol&gt;&lt;/nav&gt;. Every link in slash form; last item is plain text (the current page). If /market-area/ is not built, drop that level here AND in the JSON-LD.</t>
  </si>
  <si>
    <t>Hero</t>
  </si>
  <si>
    <t>ms flanges nellore</t>
  </si>
  <si>
    <t>H1, subline, hero paragraph + Form A (2-step quick quote)</t>
  </si>
  <si>
    <t>vijayawada</t>
  </si>
  <si>
    <t>Tab 8 'H1', 'Subline', 'Hero' rows; tab 10 Form A</t>
  </si>
  <si>
    <t>70-100</t>
  </si>
  <si>
    <t>https://remaxforge.com/vijayawada/</t>
  </si>
  <si>
    <t>Unique</t>
  </si>
  <si>
    <t>Exactly one &lt;h1&gt;. Desktop: form in the right column, above the fold. Mobile: form directly under the hero paragraph. No phone number, no tel: link, no WhatsApp or 'Call us' button.</t>
  </si>
  <si>
    <t>ss flanges nellore</t>
  </si>
  <si>
    <t>Flange Supplier in Vijayawada | Flanges Manufacturer</t>
  </si>
  <si>
    <t>Primary conversion point</t>
  </si>
  <si>
    <t>GSTIN, GST-registered since 2020, proprietorship led by Vikas Purohit (CEO), Mumbai unit, real certificates only, 'written quotes by email'</t>
  </si>
  <si>
    <t>Tab 8 SHARED row</t>
  </si>
  <si>
    <t>40</t>
  </si>
  <si>
    <t>flange price nellore</t>
  </si>
  <si>
    <t>Shared</t>
  </si>
  <si>
    <t>Flanges for Vijayawada power stations, Kondapalli industry and Amaravati water and building works. ASME, EN and IS drilling. Written quotes by email.</t>
  </si>
  <si>
    <t>Section 'How project flange packages are priced'</t>
  </si>
  <si>
    <t>flange supplier for bpcl ramayapatnam refinery</t>
  </si>
  <si>
    <t>Project</t>
  </si>
  <si>
    <t>Flange Supplier in Vijayawada &amp; the Amaravati Capital Region</t>
  </si>
  <si>
    <t>Demand table row 1 + FAQ 2 + materials checklist</t>
  </si>
  <si>
    <t>Flanges manufacturer in Mumbai supplying power, industrial and capital-region projects around Vijayawada.</t>
  </si>
  <si>
    <t>One band under the hero. GSTIN as text + link 'verify on the GST portal' → https://services.gst.gov.in/services/searchtp (taxpayer search).</t>
  </si>
  <si>
    <t>Trust</t>
  </si>
  <si>
    <t>rtj flanges nellore</t>
  </si>
  <si>
    <t>Local demand</t>
  </si>
  <si>
    <t>H2 + one-line lead + table: industry | local sites | where flanges are used | what is usually specified</t>
  </si>
  <si>
    <t>FAQ 4 - only if RTJ machining is confirmed</t>
  </si>
  <si>
    <t>Tab 8 'Local demand' row + tab 8b demand table</t>
  </si>
  <si>
    <t>200-380</t>
  </si>
  <si>
    <t>Real &lt;table&gt; with &lt;th scope="col"&gt;; horizontal-scroll wrapper on mobile. Name companies in text only - no third-party logos.</t>
  </si>
  <si>
    <t>lf2 flanges nellore</t>
  </si>
  <si>
    <t>Relevance</t>
  </si>
  <si>
    <t>Materials guidance</t>
  </si>
  <si>
    <t>H2 + 2-4 short paragraphs; a different teaching angle per city</t>
  </si>
  <si>
    <t>Materials checklist item 3 + FAQ 3</t>
  </si>
  <si>
    <t>Tab 8 'Materials guidance' row</t>
  </si>
  <si>
    <t>120-250</t>
  </si>
  <si>
    <t>Line breaks in the cell = paragraph breaks. Lines starting '1.' to '5.' render as an ordered list (Nellore).</t>
  </si>
  <si>
    <t>flange supplier krishnapatnam</t>
  </si>
  <si>
    <t>Expertise → trust</t>
  </si>
  <si>
    <t>Product range</t>
  </si>
  <si>
    <t>Section 'Areas we deliver around Nellore' + demand table</t>
  </si>
  <si>
    <t>H2 + range intro + 7-row table: flange type (link) | typical use in this city</t>
  </si>
  <si>
    <t>Tab 8 'Product range' row + tab 8b product table</t>
  </si>
  <si>
    <t>90-140</t>
  </si>
  <si>
    <t>Semi-unique</t>
  </si>
  <si>
    <t>Each type links to its product page in slash form. This also feeds the 53-page product estate with correctly formed links (daily log A-64). Confirm the 5 slugs marked [CONFIRM] exist before linking; otherwise link /products/flanges/.</t>
  </si>
  <si>
    <t>Routes buyers to product pages</t>
  </si>
  <si>
    <t>flange supplier ramayapatnam</t>
  </si>
  <si>
    <t>Manufacturing &amp; QA</t>
  </si>
  <si>
    <t>H2 + 120-word shared summary + 1 photo + the page's video (V1-V5) with transcript</t>
  </si>
  <si>
    <t>Tab 8 SHARED row; tab 13</t>
  </si>
  <si>
    <t>120 (+ transcript)</t>
  </si>
  <si>
    <t>Video behind a click-to-load facade (no player JS until clicked). Transcript in the HTML (details/summary is fine). Link to /manufacturing/ only if that page exists [CONFIRM].</t>
  </si>
  <si>
    <t>flange supplier kavali</t>
  </si>
  <si>
    <t>Delivery &amp; documents</t>
  </si>
  <si>
    <t>H2 + text: transit time, invoice/IGST, e-way bill, certificates, packing</t>
  </si>
  <si>
    <t>flange supplier muthukur</t>
  </si>
  <si>
    <t>Tab 8 'Delivery' row</t>
  </si>
  <si>
    <t>90-130</t>
  </si>
  <si>
    <t>Transit days come from tab 15 - never publish a number the client has not confirmed.</t>
  </si>
  <si>
    <t>flange supplier in kurnool</t>
  </si>
  <si>
    <t>Removes a purchase objection</t>
  </si>
  <si>
    <t>Price guidance</t>
  </si>
  <si>
    <t>H2 + text (+ dated Rs/kg band table once the client supplies it)</t>
  </si>
  <si>
    <t>Tab 8 'Price' row; tab 15 I-26</t>
  </si>
  <si>
    <t>50-100</t>
  </si>
  <si>
    <t>flanges manufacturer in kurnool</t>
  </si>
  <si>
    <t>Show 'Prices as of {month year}' beside any band. No band from the client = keep the text only. Never invent prices; no Product/Offer schema.</t>
  </si>
  <si>
    <t>Captures price-check searches</t>
  </si>
  <si>
    <t>Areas served</t>
  </si>
  <si>
    <t>flange manufacturer in kurnool</t>
  </si>
  <si>
    <t>H2 + text naming localities and industrial areas</t>
  </si>
  <si>
    <t>Tab 8 'Areas' row</t>
  </si>
  <si>
    <t>50-80</t>
  </si>
  <si>
    <t>Plain text - no links to locality pages (none should exist; one URL per city).</t>
  </si>
  <si>
    <t>Local relevance</t>
  </si>
  <si>
    <t>flanges dealer in kurnool</t>
  </si>
  <si>
    <t>Request a quote</t>
  </si>
  <si>
    <t>H2 + shared RFQ checklist + Form B (full RFQ) with id="rfq"</t>
  </si>
  <si>
    <t>Tab 8 SHARED row; tab 10 Form B</t>
  </si>
  <si>
    <t>60</t>
  </si>
  <si>
    <t>ms flanges kurnool</t>
  </si>
  <si>
    <t>id="rfq" is the Service schema's serviceUrl target (tab 11) and the sticky mobile CTA target.</t>
  </si>
  <si>
    <t>Main conversion point</t>
  </si>
  <si>
    <t>Flange supply across Andhra Pradesh → /market-area/andhra-pradesh/
Guntur → /guntur/
Pipe flanges guide → /blogs/pipe-flanges-guide/
Kurnool (large-bore water projects) → /kurnool/
+ 7 product-type links (tab 8b)</t>
  </si>
  <si>
    <t>AP hub; /guntur/ and /kurnool/ related links</t>
  </si>
  <si>
    <t>H2 + 6-7 questions and answers</t>
  </si>
  <si>
    <t>P05, P06, P12</t>
  </si>
  <si>
    <t>ss flanges kurnool</t>
  </si>
  <si>
    <t>Tab 8 'FAQs' heading row + tab 9</t>
  </si>
  <si>
    <t>V2</t>
  </si>
  <si>
    <t>180-350</t>
  </si>
  <si>
    <t>Home › Areas We Supply › Andhra Pradesh › Vijayawada</t>
  </si>
  <si>
    <t>Answers must be in the HTML on page load (accordion OK; answers fetched on click are not). FAQPage JSON-LD must match the visible text word for word - tab 11 builds it from tab 9 automatically.</t>
  </si>
  <si>
    <t>Objection handling</t>
  </si>
  <si>
    <t>flange price kurnool</t>
  </si>
  <si>
    <t>Related pages</t>
  </si>
  <si>
    <t>Section 'How large-bore water flanges are priced'</t>
  </si>
  <si>
    <t>H2 + short list: state hub, nearby city, product / industry / guide pages</t>
  </si>
  <si>
    <t>guntur</t>
  </si>
  <si>
    <t>Tab 8 'Related pages' row; tab 12 link map</t>
  </si>
  <si>
    <t>20-40</t>
  </si>
  <si>
    <t>https://remaxforge.com/guntur/</t>
  </si>
  <si>
    <t>large diameter flanges kurnool</t>
  </si>
  <si>
    <t>Descriptive anchors from tab 12; slash-form hrefs; 3-6 links.</t>
  </si>
  <si>
    <t>Internal linking</t>
  </si>
  <si>
    <t>Final CTA band</t>
  </si>
  <si>
    <t>FAQ 2 + materials section</t>
  </si>
  <si>
    <t>Flange Supplier in Guntur | Flanges Manufacturer</t>
  </si>
  <si>
    <t>Shared CTA text + button 'Get a written quote' → #rfq</t>
  </si>
  <si>
    <t>plate flanges kurnool</t>
  </si>
  <si>
    <t>Steel flanges for Guntur cold storages, ammonia refrigeration, mill boilers and capital-region projects. A105, LF2 and SS grades. Quotes by email.</t>
  </si>
  <si>
    <t>Materials section 'Plate flange or forged flange?' + FAQ 4</t>
  </si>
  <si>
    <t>awwa c207 flanges</t>
  </si>
  <si>
    <t>No phone, no WhatsApp, no third-party chat widget.</t>
  </si>
  <si>
    <t>Spec (informational)</t>
  </si>
  <si>
    <t>Last conversion point</t>
  </si>
  <si>
    <t>Flange Supplier in Guntur</t>
  </si>
  <si>
    <t>Flanges manufacturer in Mumbai supplying cold chain, agro-processing and capital-region projects in Guntur district.</t>
  </si>
  <si>
    <t>FAQ 3</t>
  </si>
  <si>
    <t>flange supplier orvakal</t>
  </si>
  <si>
    <t>Sitewide elements on city and hub pages</t>
  </si>
  <si>
    <t>Section 'Areas we deliver around Kurnool' + demand table</t>
  </si>
  <si>
    <t>flange supplier nandyal</t>
  </si>
  <si>
    <t>Sticky mobile CTA</t>
  </si>
  <si>
    <t>Bottom bar 'Get a written quote' → #rfq. Shows after 30% scroll; hides while a form is on screen. Mobile only. No phone or WhatsApp icon.</t>
  </si>
  <si>
    <t>flange supplier panyam</t>
  </si>
  <si>
    <t>Itanagar &amp; Naharlagun</t>
  </si>
  <si>
    <t>flange supplier in itanagar</t>
  </si>
  <si>
    <t>Exit-intent offer</t>
  </si>
  <si>
    <t>Desktop only, once per session, not before 20 s on page: offers the flange weight &amp; dimension chart (tab 10 Form C). Never on mobile (Google treats intrusive mobile interstitials as a negative).</t>
  </si>
  <si>
    <t>flanges manufacturer in itanagar</t>
  </si>
  <si>
    <t>Header &amp; footer</t>
  </si>
  <si>
    <t>No phone number, no tel:, no WhatsApp anywhere (daily log T1-e). Footer: add 'Areas we supply' → /market-area/.</t>
  </si>
  <si>
    <t>flange manufacturer in itanagar</t>
  </si>
  <si>
    <t>flanges dealer in itanagar</t>
  </si>
  <si>
    <t>&lt;main&gt; wrapper</t>
  </si>
  <si>
    <t>Wrap page content in &lt;main&gt; so the QA script (tab 16) measures page copy, not header/footer boilerplate.</t>
  </si>
  <si>
    <t>ms flanges itanagar</t>
  </si>
  <si>
    <t>Flange supply across Andhra Pradesh → /market-area/andhra-pradesh/
Vijayawada &amp; Amaravati → /vijayawada/
Low-temperature flanges → /products/flanges/high-temperature-cryogenic-flange/
+ 7 product-type links (tab 8b)</t>
  </si>
  <si>
    <t>AP hub; /vijayawada/ related links</t>
  </si>
  <si>
    <t>P01, P08, P11</t>
  </si>
  <si>
    <t>V1 (reuse)</t>
  </si>
  <si>
    <t>Home › Areas We Supply › Andhra Pradesh › Guntur</t>
  </si>
  <si>
    <t>Uniqueness rule</t>
  </si>
  <si>
    <t>Unique sections stay unique per city; shared modules stay under ~20% of words. QA target: &gt;= 65% unique 5-word shingles, pairwise similarity &lt;= 0.25 (fail &gt; 0.35).</t>
  </si>
  <si>
    <t>nellore</t>
  </si>
  <si>
    <t>ss flanges itanagar</t>
  </si>
  <si>
    <t>https://remaxforge.com/nellore/</t>
  </si>
  <si>
    <t>Flange Supplier in Nellore | Flanges Manufacturer</t>
  </si>
  <si>
    <t>Images &amp; video</t>
  </si>
  <si>
    <t>Flanges for Nellore power plants, Krishnapatnam port, seafood processors and the Ramayapatnam refinery supply chain. NACE, LF2 and alloy grades.</t>
  </si>
  <si>
    <t>flange price itanagar</t>
  </si>
  <si>
    <t>WebP, explicit width/height, lazy-load below the fold, hero image fetchpriority=high. Photo IDs per page in tab 6; specs in tab 13.</t>
  </si>
  <si>
    <t>Section 'Freight and pricing for small Northeast orders'</t>
  </si>
  <si>
    <t>Flange Supplier in Nellore, Krishnapatnam &amp; Ramayapatnam</t>
  </si>
  <si>
    <t>Flanges manufacturer in Mumbai supplying Nellore's power, port, seafood and refinery-project buyers.</t>
  </si>
  <si>
    <t>flange delivery arunachal pradesh</t>
  </si>
  <si>
    <t>Logistics</t>
  </si>
  <si>
    <t>Section 'Planning a flange delivery to Arunachal Pradesh' + FAQ 2-4</t>
  </si>
  <si>
    <t>flanges for water supply schemes itanagar</t>
  </si>
  <si>
    <t>Demand table (water supply) + FAQ 5</t>
  </si>
  <si>
    <t>flange supplier nirjuli</t>
  </si>
  <si>
    <t>Section 'Areas we deliver in the capital region' + demand table</t>
  </si>
  <si>
    <t>flange supplier doimukh</t>
  </si>
  <si>
    <t>flange supplier banderdewa</t>
  </si>
  <si>
    <t>Andhra Pradesh hub</t>
  </si>
  <si>
    <t>flange supplier in andhra pradesh</t>
  </si>
  <si>
    <t>/market-area/andhra-pradesh/</t>
  </si>
  <si>
    <t>Title (front), H1</t>
  </si>
  <si>
    <t>State-level queries go to the hub, never to a city page.</t>
  </si>
  <si>
    <t>flanges manufacturer in andhra pradesh</t>
  </si>
  <si>
    <t>Subline under H1 + meta description</t>
  </si>
  <si>
    <t>Arunachal Pradesh hub</t>
  </si>
  <si>
    <t>flange supplier in arunachal pradesh</t>
  </si>
  <si>
    <t>/market-area/arunachal-pradesh/</t>
  </si>
  <si>
    <t>flanges manufacturer in arunachal pradesh</t>
  </si>
  <si>
    <t>Naharlagun (merged)</t>
  </si>
  <si>
    <t>flange supplier in naharlagun</t>
  </si>
  <si>
    <t>Primary (merged town)</t>
  </si>
  <si>
    <t>Flange supply across Andhra Pradesh → /market-area/andhra-pradesh/
Visakhapatnam → /visakhapatnam/
Sour-service NACE flanges → /products/flanges/sour-service-nace-flange/
Low-temperature flanges → /products/flanges/high-temperature-cryogenic-flange/
Flanges for oil &amp; gas → /industries/oil-and-gas/
+ 7 product-type links (tab 8b)</t>
  </si>
  <si>
    <t>Title + H1 of /itanagar/ (both towns named) + FAQ 1</t>
  </si>
  <si>
    <t>AP hub; /visakhapatnam/ related links; /industries/oil-and-gas/ (optional)</t>
  </si>
  <si>
    <t>P07, P09, P10</t>
  </si>
  <si>
    <t>Follows the Option A/B choice in tab 1.</t>
  </si>
  <si>
    <t>V3</t>
  </si>
  <si>
    <t>Home › Areas We Supply › Andhra Pradesh › Nellore</t>
  </si>
  <si>
    <t>flanges manufacturer in naharlagun</t>
  </si>
  <si>
    <t>kurnool</t>
  </si>
  <si>
    <t>https://remaxforge.com/kurnool/</t>
  </si>
  <si>
    <t>Flange Supplier in Kurnool | Flanges Manufacturer</t>
  </si>
  <si>
    <t>Flanges for Kurnool pumped storage, lift irrigation, solar parks and cement plants. Large-bore, AWWA, EN and IS drilling. Written quotes by email.</t>
  </si>
  <si>
    <t>Pasighat (merged)</t>
  </si>
  <si>
    <t>flange supplier in pasighat</t>
  </si>
  <si>
    <t>Flange Supplier in Kurnool</t>
  </si>
  <si>
    <t>Flanges manufacturer in Mumbai supplying pumped-storage, irrigation, renewable and industrial projects around Kurnool.</t>
  </si>
  <si>
    <t>Hub section headed 'Pasighat' (H2) on /market-area/arunachal-pradesh/</t>
  </si>
  <si>
    <t>flanges manufacturer in pasighat</t>
  </si>
  <si>
    <t>8. City content (paste-ready) - copy each cell into the matching section of the template (tab 7)</t>
  </si>
  <si>
    <t>Tawang (merged)</t>
  </si>
  <si>
    <t>flange supplier in tawang</t>
  </si>
  <si>
    <t>Light-yellow cells still contain [CLIENT ...], [CONFIRM] or [DEV] markers - replace them with real data from tab 15 or delete the sentence. SHARED rows at the top feed every page (edit once; the page rows below update).</t>
  </si>
  <si>
    <t>URL</t>
  </si>
  <si>
    <t>Sec #</t>
  </si>
  <si>
    <t>Heading (H2)</t>
  </si>
  <si>
    <t>Copy (paste-ready)</t>
  </si>
  <si>
    <t>Flange supply across Andhra Pradesh → /market-area/andhra-pradesh/
Pipe flanges guide → /blogs/pipe-flanges-guide/
Vijayawada (Class 150 vs PN16 drilling) → /vijayawada/
+ 7 product-type links (tab 8b)</t>
  </si>
  <si>
    <t>P12, P06, P13</t>
  </si>
  <si>
    <t>Status</t>
  </si>
  <si>
    <t>V4</t>
  </si>
  <si>
    <t>Home › Areas We Supply › Andhra Pradesh › Kurnool</t>
  </si>
  <si>
    <t>Dev note</t>
  </si>
  <si>
    <t>Hub section headed 'Tawang' (H2) on /market-area/arunachal-pradesh/</t>
  </si>
  <si>
    <t>SHARED</t>
  </si>
  <si>
    <t>itanagar</t>
  </si>
  <si>
    <t>https://remaxforge.com/itanagar/</t>
  </si>
  <si>
    <t>REBUILD + ABSORB NAHARLAGUN</t>
  </si>
  <si>
    <t>all city + hub pages</t>
  </si>
  <si>
    <t>flanges manufacturer in tawang</t>
  </si>
  <si>
    <t>Band under the hero (no heading)</t>
  </si>
  <si>
    <t>Flange Supplier in Itanagar &amp; Naharlagun | Manufacturer</t>
  </si>
  <si>
    <t>GSTIN 27FFLPP0007K1ZA (verify on the GST portal) · GST-registered since 2020 · Proprietorship led by Vikas Purohit, CEO · Manufacturing unit in Mumbai, Maharashtra [CLIENT: locality] · [CLIENT: real certifications only, e.g. ISO 9001:2015 — delete if none] · Written quotes by email, no calls needed</t>
  </si>
  <si>
    <t>Flanges for water-supply, hospital, building and hydro projects in Itanagar and Naharlagun. Shipped from Mumbai via Guwahati. Written quotes by email.</t>
  </si>
  <si>
    <t>Flange Supplier in Itanagar &amp; Naharlagun (Capital Region)</t>
  </si>
  <si>
    <t>Flanges manufacturer in Mumbai supplying water-supply, building and hydropower work in the Itanagar capital region.</t>
  </si>
  <si>
    <t>Ziro (merged)</t>
  </si>
  <si>
    <t>flange supplier in ziro</t>
  </si>
  <si>
    <t>Hub section headed 'Ziro' (H2) on /market-area/arunachal-pradesh/</t>
  </si>
  <si>
    <t>flanges manufacturer in ziro</t>
  </si>
  <si>
    <t>Flange supply across Arunachal Pradesh → /market-area/arunachal-pradesh/
Pipe flanges guide → /blogs/pipe-flanges-guide/
+ 7 product-type links (tab 8b)</t>
  </si>
  <si>
    <t>AR hub (Itanagar section + list)</t>
  </si>
  <si>
    <t>P13, P14, P11</t>
  </si>
  <si>
    <t>V5</t>
  </si>
  <si>
    <t>Home › Areas We Supply › Arunachal Pradesh › Itanagar &amp; Naharlagun</t>
  </si>
  <si>
    <t>ap_hub</t>
  </si>
  <si>
    <t>https://remaxforge.com/market-area/andhra-pradesh/</t>
  </si>
  <si>
    <t>NEW</t>
  </si>
  <si>
    <t>Flange Supplier in Andhra Pradesh | Flanges Manufacturer</t>
  </si>
  <si>
    <t>Forged flanges across Andhra Pradesh: Vizag steel and refinery belt, Nellore ports, Amaravati works, Kurnool pumped storage. Written quotes by email.</t>
  </si>
  <si>
    <t>Flanges Manufacturer &amp; Supplier for Andhra Pradesh</t>
  </si>
  <si>
    <t>One Mumbai manufacturer supplying Andhra Pradesh's steel, refinery, power, port, water and capital-region projects.</t>
  </si>
  <si>
    <t>Edit here only - page rows reference this row.</t>
  </si>
  <si>
    <t>H2 + P + photo + video</t>
  </si>
  <si>
    <t>How every flange is made and checked</t>
  </si>
  <si>
    <t>Every flange starts as a certified billet or bar whose heat number follows it through cutting, forging, heat treatment where the material specification requires it, CNC machining and drilling, and final marking of grade, class, size and heat number. Before dispatch we check dimensions against the governing standard and [CLIENT: list only tests actually done in-house, e.g. PMI, hardness, ultrasonic], and issue material test certificates that tie each flange back to its heat. Buyer-nominated third-party inspection can witness any stage [CONFIRM].</t>
  </si>
  <si>
    <t>H2 + P + Form B (id="rfq")</t>
  </si>
  <si>
    <t>Request a written quote</t>
  </si>
  <si>
    <t>A quote-ready enquiry lists: flange type · nominal size (NPS or DN) · pressure class or PN · facing (RF, FF or RTJ) · material specification and grade · bore or schedule for weld neck flanges · quantity · delivery location · testing and certificate needs (NACE, impact test, EN 10204 3.1/3.2, third-party inspection). Upload a BOQ or drawing and we will read it for you.</t>
  </si>
  <si>
    <t>Final CTA</t>
  </si>
  <si>
    <t>CTA band + button 'Get a written quote' → #rfq</t>
  </si>
  <si>
    <t>Send your requirement - we reply in writing. Fill the form or upload your BOQ; you get a line-by-line quote by email [CLIENT: reply time, e.g. within one working day]. No phone calls needed - everything is in writing.</t>
  </si>
  <si>
    <t>Hub copy unique; city summaries must not repeat city-page sentences</t>
  </si>
  <si>
    <t>Visakhapatnam → /visakhapatnam/
Vijayawada → /vijayawada/
Guntur → /guntur/
Nellore → /nellore/
Kurnool → /kurnool/
All flange types → /products/flanges/</t>
  </si>
  <si>
    <t>/market-area/ index; breadcrumb of all 5 AP city pages; body link from each AP city page</t>
  </si>
  <si>
    <t>P03, P11</t>
  </si>
  <si>
    <t>CollectionPage, BreadcrumbList, Service, FAQPage (+ sitewide Organization, WebSite, Person)</t>
  </si>
  <si>
    <t>Home › Areas We Supply › Andhra Pradesh</t>
  </si>
  <si>
    <t>ar_hub</t>
  </si>
  <si>
    <t>https://remaxforge.com/market-area/arunachal-pradesh/</t>
  </si>
  <si>
    <t>NEW (absorbs Pasighat, Tawang, Ziro under Option A)</t>
  </si>
  <si>
    <t>Flange Supplier in Arunachal Pradesh | Itanagar to Tawang</t>
  </si>
  <si>
    <t>Flanges for hydro, water-supply and building projects in Arunachal Pradesh: Itanagar, Tawang, Ziro, Pasighat. Shipped via Guwahati. Quotes by email.</t>
  </si>
  <si>
    <t>Slash-form links; see tab 12.</t>
  </si>
  <si>
    <t>Flange Supplier for Arunachal Pradesh</t>
  </si>
  <si>
    <t>Flanges from our Mumbai unit for hydropower, water-supply, building and road projects across the state.</t>
  </si>
  <si>
    <t>The only &lt;h1&gt; on the page.</t>
  </si>
  <si>
    <t>Subline (P under H1)</t>
  </si>
  <si>
    <t>P (hero) + Form A</t>
  </si>
  <si>
    <t>Remax Forge is a flanges manufacturer in Mumbai that supplies forged flanges to plants, EPC contractors and fabricators across Visakhapatnam and the neighbouring Anakapalli district - the steel and refinery belt, the ports and shipyard, and the pharma and SEZ clusters at Parawada, Duvvada and Atchutapuram. Send your sizes, pressure class and material through the form and we reply by email with a line-by-line price and dispatch date [CLIENT: reply time, e.g. within one working day].</t>
  </si>
  <si>
    <t>Form A (tab 10) beside/below this paragraph.</t>
  </si>
  <si>
    <t>Itanagar &amp; Naharlagun → /itanagar/
All flange types → /products/flanges/</t>
  </si>
  <si>
    <t>/market-area/ index; breadcrumb + body link from /itanagar/</t>
  </si>
  <si>
    <t>P14, P13</t>
  </si>
  <si>
    <t>Home › Areas We Supply › Arunachal Pradesh</t>
  </si>
  <si>
    <t>market_area</t>
  </si>
  <si>
    <t>Market Area index</t>
  </si>
  <si>
    <t>https://remaxforge.com/market-area/</t>
  </si>
  <si>
    <t>NEW (if it does not exist)</t>
  </si>
  <si>
    <t>Flange Supply Areas Across India | Remax Forge &amp; Fittings</t>
  </si>
  <si>
    <t>H2 + P (table: tab 8b)</t>
  </si>
  <si>
    <t>See the states and cities we deliver forged flanges to from Mumbai, with local industries, delivery times and documents. Written quotes by email.</t>
  </si>
  <si>
    <t>Where flanges are used in Visakhapatnam - and what each site usually specifies</t>
  </si>
  <si>
    <t>Vizag buys flanges for very different services: oxygen lines in a steel plant, sour hydrocarbons in a refinery, seawater at the harbour. The table maps each local industry to what its piping engineers usually specify, so your enquiry starts in the right place.</t>
  </si>
  <si>
    <t>Where We Supply Flanges in India</t>
  </si>
  <si>
    <t>Forged flanges made in Mumbai and delivered by road to plants, EPC contractors and fabricators across India.</t>
  </si>
  <si>
    <t>Table columns: Industry | Local sites and projects | Where flanges are used | What is usually specified.</t>
  </si>
  <si>
    <t>H2 + P</t>
  </si>
  <si>
    <t>Choosing flange materials for Visakhapatnam's coastal and process conditions</t>
  </si>
  <si>
    <t>Three things set a Vizag specification apart from an inland one.
Salt air and seawater. Carbon-steel flanges near the harbour corrode quickly unless the coating is written into the purchase order - tell us the paint or galvanising system you need [CLIENT: confirm coating options]. Where seawater actually wets the flange, 304L and 316L pit and suffer crevice corrosion at the gasket face in warm harbour water; super duplex (ASTM A182 F53/F55) or 6Mo (F44) is the usual choice for pumped seawater, with standard duplex (F51/F60) and 316L kept to splash-zone and marine-air duty. The final call belongs to your process engineer - we quote whatever the line list says.
Sour service. Refinery lines carrying wet H2S need material that meets NACE MR0103 / ISO 17945, with hardness control and certificates that say so. MR0175 / ISO 15156 is the equivalent for oil and gas production. State the standard on your enquiry and we price it in.
Oxygen and high-temperature steam. Steel-plant oxygen lines need components cleaned and certified for oxygen service [CONFIRM offered]. Power-plant steam lines use chrome-moly grades - F11 and F22, and F91 at higher temperatures - supplied in the heat-treated condition ASTM A182 requires.</t>
  </si>
  <si>
    <t>Each line break = new paragraph.</t>
  </si>
  <si>
    <t>Flange types we supply to Visakhapatnam</t>
  </si>
  <si>
    <t>Carbon-steel (MS) flanges in ASTM A105, stainless steel (SS 304/304L, 316/316L), alloy and duplex grades are forged and machined in our Mumbai unit [CLIENT: confirm which types are made in-house] and reach Visakhapatnam with material test certificates traceable to the heat number stamped on each flange.</t>
  </si>
  <si>
    <t>Table columns: Flange type (link) | Typical use in Visakhapatnam.</t>
  </si>
  <si>
    <t>Andhra Pradesh → /market-area/andhra-pradesh/
Arunachal Pradesh → /market-area/arunachal-pradesh/</t>
  </si>
  <si>
    <t>Sitewide footer link 'Areas we supply'; breadcrumb of every hub and city page</t>
  </si>
  <si>
    <t>CollectionPage, BreadcrumbList (+ sitewide Organization, WebSite, Person)</t>
  </si>
  <si>
    <t>Home › Areas We Supply</t>
  </si>
  <si>
    <t>Delivery to Visakhapatnam, Anakapalli and the port</t>
  </si>
  <si>
    <t>We dispatch from Mumbai by road [CLIENT: part-load or full-truck; transporter]. Door delivery to Visakhapatnam city, Gajuwaka, Autonagar, Parawada and Anakapalli sites typically takes [CLIENT: X-Y days] after dispatch; manufacturing time depends on size, grade and quantity, and both dates are written into your quote.
Each consignment travels with a GST tax invoice (IGST, as an inter-state supply from Maharashtra), an e-way bill (mandatory above Rs 50,000 consignment value), a packing list and material test certificates. For cargo moving through Visakhapatnam or Gangavaram port, specify seaworthy packing - wooden cases, VCI wrapping, marking to your shipping instructions - in the form.</t>
  </si>
  <si>
    <t>Option B only - mini-pages for the 4 merged towns (ignored while tab 1 says Option A)</t>
  </si>
  <si>
    <t>Town</t>
  </si>
  <si>
    <t>Used?</t>
  </si>
  <si>
    <t>Flange prices for Visakhapatnam delivery</t>
  </si>
  <si>
    <t>Keep only if (all must be true)</t>
  </si>
  <si>
    <t>Angle</t>
  </si>
  <si>
    <t>4 FAQs to write</t>
  </si>
  <si>
    <t>Flange prices move with material grade, weight (size x class), forged versus plate construction, facing (RTJ grooves cost more than raised face), extra testing (NACE, impact, third-party inspection) and quantity. [CLIENT: indicative Rs/kg bands for A105, 304L/316L and F11/F22, dated this month.] Freight to Visakhapatnam is shown as a separate line so you can compare like with like [CONFIRM]. Upload your BOQ and you get a line-by-line price rather than a lump sum.</t>
  </si>
  <si>
    <t>Word floor</t>
  </si>
  <si>
    <t>Add the dated Rs/kg band table here once the client supplies it (tab 15 I-26).</t>
  </si>
  <si>
    <t>Areas we deliver in and around Visakhapatnam</t>
  </si>
  <si>
    <t>We deliver to sites across Gajuwaka and Autonagar, the Visakhapatnam SEZ at Duvvada, Jawaharlal Nehru Pharma City at Parawada, the Atchutapuram SEZ, and Anakapalli district from Nakkapalli to Rajayyapeta and Pudimadaka. [CLIENT: delete any area you would not deliver to.] For projects elsewhere on the coast, see our Andhra Pradesh page.</t>
  </si>
  <si>
    <t>Plain text, no locality links.</t>
  </si>
  <si>
    <t>Remax has supplied Naharlagun sites (e.g. hospital or rail-linked projects) or receives Naharlagun-specific RFQs.</t>
  </si>
  <si>
    <t>Hospital and public-building fire-fighting and HVAC plant rooms; Naharlagun rail head for consolidated freight.</t>
  </si>
  <si>
    <t>Can you deliver to hospital sites in Naharlagun?
Is rail freight to Naharlagun an option?
Do you supply fire-fighting flanges?
Do you have a stockist in Naharlagun?</t>
  </si>
  <si>
    <t>Flange Supplier in Naharlagun | Flanges Manufacturer</t>
  </si>
  <si>
    <t>Flanges for Naharlagun hospital, public-building and fire-fighting projects, shipped from Mumbai with heat-traceable certificates. Written quotes.</t>
  </si>
  <si>
    <t>Flange Supplier in Naharlagun</t>
  </si>
  <si>
    <t>Remax has an active East Siang project or repeat Pasighat enquiries.</t>
  </si>
  <si>
    <t>East Siang water-supply schemes and institutions; delivery via Guwahati and Dibrugarh side routes [CLIENT: route].</t>
  </si>
  <si>
    <t>H2 (Q&amp;A in tab 9)</t>
  </si>
  <si>
    <t>How long does delivery to Pasighat take?
Do you supply PN10/PN16 water-scheme flanges?
Is there a minimum order?
Do you have a stockist in Pasighat?</t>
  </si>
  <si>
    <t>Flange questions from Visakhapatnam buyers</t>
  </si>
  <si>
    <t>Flange Supplier in Pasighat | Flanges Manufacturer</t>
  </si>
  <si>
    <t>Flanges for East Siang water-supply schemes and institutions around Pasighat, shipped from Mumbai with certificates. Written quotes by email.</t>
  </si>
  <si>
    <t>Flange Supplier in Pasighat</t>
  </si>
  <si>
    <t>Questions and answers: tab 9.</t>
  </si>
  <si>
    <t>H2 + link list</t>
  </si>
  <si>
    <t>Flange supply across Andhra Pradesh · Nellore (refinery projects) · Sour-service NACE flanges · Flanges for oil &amp; gas · Pipe flanges guide</t>
  </si>
  <si>
    <t>Links: Flange supply across Andhra Pradesh → /market-area/andhra-pradesh/; Nellore (refinery projects) → /nellore/; Sour-service NACE flanges → /products/flanges/sour-service-nace-flange/; Flanges for oil &amp; gas → /industries/oil-and-gas/; Pipe flanges guide → /blogs/pipe-flanges-guide/</t>
  </si>
  <si>
    <t>Remax supplies defence, BRO or hydro contractors in Tawang district.</t>
  </si>
  <si>
    <t>High-altitude cold service (A105 vs LF2 below -29 °C), winter logistics over the Sela route, defence and border infrastructure contractors.</t>
  </si>
  <si>
    <t>Do you deliver to Tawang in winter?
When is A350 LF2 needed?
Can you supply BRO or defence contractors?
How is freight priced?</t>
  </si>
  <si>
    <t>Flange Supplier in Tawang | Flanges Manufacturer</t>
  </si>
  <si>
    <t>Flanges for Tawang defence, road and hydro contractors, including LF2 for sub-zero service. Packed for mountain transit from Mumbai. Written quotes.</t>
  </si>
  <si>
    <t>Flange Supplier in Tawang</t>
  </si>
  <si>
    <t>Remax supplies Ranganadi / Lower Subansiri hydro maintenance or local water schemes.</t>
  </si>
  <si>
    <t>Hydro auxiliary spares near the Ranganadi dam at Yazali; Lower Subansiri water-supply schemes.</t>
  </si>
  <si>
    <t>Do you supply hydro auxiliary spares?
How long does delivery to Ziro take?
Do you supply water-scheme flanges?
Do you have a stockist in Ziro?</t>
  </si>
  <si>
    <t>Flange Supplier in Ziro | Flanges Manufacturer</t>
  </si>
  <si>
    <t>Flanges for hydro auxiliaries and water-supply schemes around Ziro and Yazali, shipped from Mumbai with heat-traceable certificates. Quotes by email.</t>
  </si>
  <si>
    <t>Flange Supplier in Ziro</t>
  </si>
  <si>
    <t>Remax Forge is a flanges manufacturer in Mumbai supplying Vijayawada's power stations, the Kondapalli industrial belt, Autonagar fabricators and the contractors building the Amaravati capital region. Tell us the size, class and material in the form - or upload your BOQ - and we send a written quote by email [CLIENT: reply time].</t>
  </si>
  <si>
    <t>What Vijayawada's projects specify</t>
  </si>
  <si>
    <t>Demand around Vijayawada splits between high-temperature power-plant piping and very large, low-pressure water and building-services work. The two need completely different flanges, so start with the row that matches your job.</t>
  </si>
  <si>
    <t>Class 150 or PN16? The drilling mistake that stalls Vijayawada water jobs</t>
  </si>
  <si>
    <t>Work around Vijayawada and Amaravati often mixes equipment from different standards: pumps and valves drilled to EN 1092-1 PN10/PN16, pipe specified to IS or AWWA standards, and fire-fighting packages built to ASME. An ASME B16.5 Class 150 flange and an EN 1092-1 PN16 flange of the same nominal size generally have different bolt circles and bolt-hole sizes, so they will not bolt together. Before ordering, check the drilling standard of the valve or pump you are mating to and put it on the enquiry - we machine to ASME, EN, IS [CLIENT: confirm IS 6392 / BS / DIN capability] or to your drawing.
Power-plant buyers face the opposite problem: pressure and temperature. For steam service, chrome-moly grades F11, F22 and F91 must be supplied in the heat-treated condition ASTM A182 requires, and the certificate should show it. Ask for the heat-treatment record with your quote.</t>
  </si>
  <si>
    <t>Flange types we supply to Vijayawada</t>
  </si>
  <si>
    <t>MS (carbon steel A105), SS 304L/316L and chrome-moly flanges ship from Mumbai to Vijayawada with certificates tied to each flange's heat number. Large-diameter and custom-drilled flanges for water projects are made to order [CLIENT: confirm maximum size].</t>
  </si>
  <si>
    <t>Table columns: Flange type (link) | Typical use in Vijayawada.</t>
  </si>
  <si>
    <t>8b. Page tables (paste-ready) - the local-demand table and the product-range table for each city page</t>
  </si>
  <si>
    <t>Build both as real HTML tables (not images). Product links are slash-form; rows marked [CONFIRM] need the slug checked before launch (otherwise link /products/flanges/).</t>
  </si>
  <si>
    <t>Table</t>
  </si>
  <si>
    <t>Row</t>
  </si>
  <si>
    <t>Column 1</t>
  </si>
  <si>
    <t>Column 2</t>
  </si>
  <si>
    <t>Column 3</t>
  </si>
  <si>
    <t>Column 4</t>
  </si>
  <si>
    <t>Delivery to Vijayawada, Kondapalli and Amaravati sites</t>
  </si>
  <si>
    <t>Road dispatch from Mumbai reaches Vijayawada, Kondapalli, Ibrahimpatnam and the Amaravati capital area in typically [CLIENT: X-Y days] after dispatch. Construction sites often have no receiving store, so add the site contact and unloading constraints (crane, access road, working hours) in the form and the transporter can plan around them.
Invoices are raised with IGST as an inter-state supply from Maharashtra, and an e-way bill travels with every consignment above Rs 50,000. Certificates are matched to the heat numbers stamped on the flanges, which keeps the contractor's material reconciliation simple.</t>
  </si>
  <si>
    <t>Integrated steel</t>
  </si>
  <si>
    <t>Visakhapatnam Steel Plant (RINL); AM/NS India's 8.2 MTPA greenfield plant at Rajayyapeta, Anakapalli (foundation stone laid March 2026, steelmaking targeted for 2029)</t>
  </si>
  <si>
    <t>Pricing water-project and power-plant flanges</t>
  </si>
  <si>
    <t>Cooling water, compressed air, fuel gas, oxygen / nitrogen / argon distribution, hydraulic systems</t>
  </si>
  <si>
    <t>Water-project flanges are priced mostly by weight and drilling; power-plant flanges by grade, class and testing. [CLIENT: indicative Rs/kg bands.] Send the tender BOQ and we quote line by line, with freight to Vijayawada shown separately [CONFIRM].</t>
  </si>
  <si>
    <t>A105 weld neck and slip-on, Class 150-300 RF for water and air; 304L/316L for industrial gases (oxygen service needs cleaned, certified components); blind and spectacle blinds for isolation</t>
  </si>
  <si>
    <t>Areas we deliver around Vijayawada</t>
  </si>
  <si>
    <t>We deliver across Vijayawada city and Autonagar, the Kondapalli industrial area, Ibrahimpatnam, Gannavaram, Mangalagiri and Tadepalli, and capital-region sites around Amaravati. [CLIENT: remove anything you would not deliver to.] Guntur has its own page, and the rest of the state is on our Andhra Pradesh page.</t>
  </si>
  <si>
    <t>9. FAQs (paste-ready) - visible on the page AND in the FAQPage JSON-LD (tab 11 rebuilds the JSON from these cells)</t>
  </si>
  <si>
    <t>Edit here only. Question 1 on every city page answers 'local supplier or shipped from Mumbai?' honestly - keep it that way.</t>
  </si>
  <si>
    <t>Question</t>
  </si>
  <si>
    <t>Answer</t>
  </si>
  <si>
    <t>In FAQPage JSON-LD?</t>
  </si>
  <si>
    <t>Flange questions from Vijayawada buyers</t>
  </si>
  <si>
    <t>Are you a local flange supplier in Visakhapatnam, or do you ship from Mumbai?</t>
  </si>
  <si>
    <t>We ship from Mumbai. Remax Forge manufactures and dispatches from its Mumbai unit [CLIENT: confirm] and delivers to Visakhapatnam and Anakapalli by road. You deal directly with the manufacturer, so questions about grade, heat treatment or certificates are answered by the people who made the flange.</t>
  </si>
  <si>
    <t>Flange supply across Andhra Pradesh · Guntur · Pipe flanges guide · Kurnool (large-bore water projects)</t>
  </si>
  <si>
    <t>Links: Flange supply across Andhra Pradesh → /market-area/andhra-pradesh/; Guntur → /guntur/; Pipe flanges guide → /blogs/pipe-flanges-guide/; Kurnool (large-bore water projects) → /kurnool/</t>
  </si>
  <si>
    <t>Headers: Industry | Local sites and projects | Where flanges are used | What is usually specified</t>
  </si>
  <si>
    <t>Refining &amp; fuel terminals</t>
  </si>
  <si>
    <t>HPCL Visakh Refinery and petroleum product terminals around the port</t>
  </si>
  <si>
    <t>Process and utility lines, hydrocarbon storage and loading, flare headers</t>
  </si>
  <si>
    <t>A105 weld neck RF/RTJ from Class 150 upward; A182 F5/F9 where hot, sulphur-bearing streams need chrome-moly; NACE MR0103 / ISO 17945 for wet H2S refinery service</t>
  </si>
  <si>
    <t>Remax Forge is a flanges manufacturer in Mumbai supplying Guntur's cold-storage operators, agro-processing plants, refrigeration and boiler contractors, and projects in the capital-region mandals of Guntur district. Send your size, class and grade in the form and we reply with a written quote [CLIENT: reply time].</t>
  </si>
  <si>
    <t>Yes</t>
  </si>
  <si>
    <t>Ports, shipbuilding &amp; marine</t>
  </si>
  <si>
    <t>Visakhapatnam Port, Gangavaram Port, Hindustan Shipyard; captive port approved for AM/NS at D.L. Puram</t>
  </si>
  <si>
    <t>Fire-water rings, bunker and fuel lines, ballast and seawater cooling, cargo-handling hydraulics</t>
  </si>
  <si>
    <t>How long does delivery to Visakhapatnam take?</t>
  </si>
  <si>
    <t>A105 (painted or galvanised) for freshwater fire-water; super duplex A182 F53/F55 or 6Mo F44 where seawater wets the flange; 316L for marine air, not immersion</t>
  </si>
  <si>
    <t>Transit is typically [CLIENT: X-Y days] after dispatch. Production time depends on size, grade and quantity - standard carbon-steel sizes are quicker than alloy or large-bore forgings - and your quote states both dates.</t>
  </si>
  <si>
    <t>Power &amp; new energy</t>
  </si>
  <si>
    <t>NTPC Simhadri; NTPC Green's hydrogen hub planned at Pudimadaka</t>
  </si>
  <si>
    <t>Feedwater and steam, cooling water, demineralised water, gas utilities</t>
  </si>
  <si>
    <t>A182 F11/F22 (F91 for higher-temperature steam) weld neck, Class 600-1500; A105 for cooling water; 316L for DM water</t>
  </si>
  <si>
    <t>Can you supply contractors working on the Anakapalli steel project or refinery jobs?</t>
  </si>
  <si>
    <t>Where Guntur's flange demand comes from</t>
  </si>
  <si>
    <t>Guntur's piping is mostly utilities - refrigeration, steam and water - rather than heavy process plant. That makes material choice and documentation, not exotic grades, the things most likely to go wrong.</t>
  </si>
  <si>
    <t>Yes, against the project's own material specification and vendor document requirements: inspection and test plan, third-party inspection, EN 10204 3.1 or 3.2 certificates [CONFIRM]. If the project only buys from an approved vendor list, check that first; we can support registration where the owner allows it. [CLIENT: list any genuine approvals or registrations, otherwise keep this wording.]</t>
  </si>
  <si>
    <t>Pharma &amp; chemicals</t>
  </si>
  <si>
    <t>Jawaharlal Nehru Pharma City (Parawada), Visakhapatnam SEZ (Duvvada), Atchutapuram SEZ, the bulk drug park at Nakkapalli</t>
  </si>
  <si>
    <t>Plant utilities - steam, condensate, cooling water, solvents, nitrogen - and effluent treatment</t>
  </si>
  <si>
    <t>316L slip-on or weld neck, Class 150, for solvents and nitrogen; A105 for steam utilities. Product-contact hygienic lines normally use ASME BPE fittings, not B16.5 flanges</t>
  </si>
  <si>
    <t>Refrigeration and boiler flanges: what Guntur buyers should specify</t>
  </si>
  <si>
    <t>Two rules prevent most of the problems we see in utility piping.
Ammonia and copper do not mix. Ammonia attacks copper and its alloys, so every flange and fitting on an ammonia refrigeration circuit should be steel. Carbon steel A105 suits typical cold-store temperatures. ASME B16.5 tabulates pressure-temperature ratings only from -29 °C upward, so for colder design metal temperatures - blast freezers, low-temperature stores - specify impact-tested A350 LF2 (Class 1 is impact-tested at -46 °C) and confirm against your refrigeration code.
Steam under IBR needs paperwork. Boiler steam lines that fall under the Indian Boiler Regulations need IBR-certified material and documents, and inspectors check them. Tell us at enquiry stage if your line is IBR - it changes the certificates, the lead time and the price. [CLIENT: confirm IBR capability; if not offered, say so plainly here.]</t>
  </si>
  <si>
    <t>Which flange material should I use for seawater or harbour-side lines?</t>
  </si>
  <si>
    <t>For flanges wetted by pumped seawater, super duplex (A182 F53/F55) or 6Mo (F44) is the usual choice - 316L and standard duplex (F51/F60) can suffer crevice corrosion at the gasket face in warm seawater, so keep them to splash-zone and marine-air duty. Coated carbon steel is common on freshwater fire-water rings. The line designer decides - send us the line list and we quote to it.</t>
  </si>
  <si>
    <t>Do you supply NACE MR0103 / MR0175 compliant flanges?</t>
  </si>
  <si>
    <t>Heavy fabrication</t>
  </si>
  <si>
    <t>Flange types we supply to Guntur</t>
  </si>
  <si>
    <t>[CONFIRM] Yes. Mention the standard in your enquiry and we supply hardness-controlled material with certificates that reference it. See our sour-service flange page for details.</t>
  </si>
  <si>
    <t>Most Guntur orders are standard sizes in MS (A105) and SS 304L/316L, which keeps lead times short [CLIENT: confirm stocked sizes]. The full range ships from Mumbai with heat-number-traceable certificates.</t>
  </si>
  <si>
    <t>Table columns: Flange type (link) | Typical use in Guntur.</t>
  </si>
  <si>
    <t>BHEL's Heavy Plates &amp; Vessels Plant and fabricators around Autonagar and Gajuwaka</t>
  </si>
  <si>
    <t>Nozzle flanges for pressure vessels, heat exchangers and skids</t>
  </si>
  <si>
    <t>Weld neck and long weld neck to drawing; A105, A350 LF2 or A182 grades to match the vessel design code</t>
  </si>
  <si>
    <t>What paperwork comes with a delivery to Andhra Pradesh?</t>
  </si>
  <si>
    <t>A GST tax invoice charged with IGST, an e-way bill for consignments above Rs 50,000, a packing list, and material test certificates traceable to the heat number on each flange.</t>
  </si>
  <si>
    <t>Can I get a quote without calling anyone?</t>
  </si>
  <si>
    <t>Yes - that is how we work. Fill the form or upload your BOQ and we reply by email with a written, line-by-line quote. Everything stays in writing, which makes approvals and purchase-order matching easier.</t>
  </si>
  <si>
    <t>Delivery to Guntur and the district</t>
  </si>
  <si>
    <t>We dispatch by road from Mumbai to Guntur city, the cold-storage belt around the Mirchi Yard, Mangalagiri, Tadepalli and mill clusters in the district, typically [CLIENT: X-Y days] after dispatch. Cold-storage and mill maintenance jobs are often urgent - put your shutdown date in the form and we will say honestly whether we can meet it.
The invoice carries IGST, an e-way bill accompanies consignments above Rs 50,000, and the certificates match the heat numbers on each flange.</t>
  </si>
  <si>
    <t>Weld neck (WNRF / WNRTJ)</t>
  </si>
  <si>
    <t>/products/flanges/weld-neck-flange/</t>
  </si>
  <si>
    <t>Refinery process lines and power-plant steam piping</t>
  </si>
  <si>
    <t>[CONFIRM] slug exists - else link /products/flanges/</t>
  </si>
  <si>
    <t>Are you a local flange supplier in Vijayawada, or do you ship from Mumbai?</t>
  </si>
  <si>
    <t>We ship from Mumbai and do not use dealers or stockists in Vijayawada, so you buy directly from the manufacturer and receive the manufacturer's certificates with every delivery.</t>
  </si>
  <si>
    <t>What drives the price of refrigeration and boiler flanges</t>
  </si>
  <si>
    <t>For refrigeration and boiler work, price depends mainly on grade (A105 or LF2), class, size and whether IBR documentation is needed. [CLIENT: indicative Rs/kg bands.] Upload your BOQ for a line-by-line quote.</t>
  </si>
  <si>
    <t>Areas we deliver around Guntur</t>
  </si>
  <si>
    <t>Do you supply flanges to contractors working on Amaravati capital projects?</t>
  </si>
  <si>
    <t>We deliver across Guntur city, the cold-storage clusters around the Mirchi Yard, Mangalagiri, Tadepalli and Thullur in the capital area, and nearby towns such as Tenali, Narasaraopet and Chilakaluripet. [CLIENT: adjust.] Vijayawada and Amaravati construction packages are covered on our Vijayawada page.</t>
  </si>
  <si>
    <t>[CONFIRM] Yes. We quote against the contractor's approved specification and drawings, including large-bore and PN-drilled flanges for water, sewerage and pumping stations. If the package names a make list or third-party inspection, attach it to the enquiry.</t>
  </si>
  <si>
    <t>Will a Class 150 flange bolt to a PN16 valve?</t>
  </si>
  <si>
    <t>Usually not - bolt circles and hole sizes differ for most sizes. Match the flange to the valve's drilling standard, or order a flange drilled to that standard.</t>
  </si>
  <si>
    <t>Can you supply F11, F22 or F91 flanges for power-plant steam lines?</t>
  </si>
  <si>
    <t>[CONFIRM] Yes, in weld neck and other types, heat-treated as ASTM A182 requires, with certificates showing chemistry, mechanical results and heat treatment.</t>
  </si>
  <si>
    <t>Flange questions from Guntur buyers</t>
  </si>
  <si>
    <t>How long does delivery to Vijayawada take?</t>
  </si>
  <si>
    <t>Typically [CLIENT: X-Y days] in transit after dispatch; production time depends on grade and size and is stated in the quote.</t>
  </si>
  <si>
    <t>Flange supply across Andhra Pradesh · Vijayawada &amp; Amaravati · Low-temperature flanges</t>
  </si>
  <si>
    <t>What should my enquiry include?</t>
  </si>
  <si>
    <t>Flange type, nominal size, pressure class or PN, facing (RF, FF or RTJ), material specification and grade, bore or schedule for weld neck flanges, quantity, delivery location, and any testing or certificate requirements. A BOQ or drawing upload covers all of it.</t>
  </si>
  <si>
    <t>Links: Flange supply across Andhra Pradesh → /market-area/andhra-pradesh/; Vijayawada &amp; Amaravati → /vijayawada/; Low-temperature flanges → /products/flanges/high-temperature-cryogenic-flange/</t>
  </si>
  <si>
    <t>Headers: Flange type | Typical use in Visakhapatnam (link column D to the URL in column E)</t>
  </si>
  <si>
    <t>Slip-on (SORF / SOFF)</t>
  </si>
  <si>
    <t>/products/flanges/slip-on-flange/</t>
  </si>
  <si>
    <t>Fire-water rings and cooling water at the port and steel plant</t>
  </si>
  <si>
    <t>Yes - live page</t>
  </si>
  <si>
    <t>Are you a local flange supplier in Guntur, or do you ship from Mumbai?</t>
  </si>
  <si>
    <t>Everything ships from our Mumbai unit - there is no dealer in between, so the certificates you receive come straight from the manufacturer.</t>
  </si>
  <si>
    <t>Blind (BLRF / BLFF)</t>
  </si>
  <si>
    <t>/products/flanges/blind-flange/</t>
  </si>
  <si>
    <t>Isolation points and future tie-ins on plant headers</t>
  </si>
  <si>
    <t>Can I use brass or copper-nickel flanges on an ammonia refrigeration line?</t>
  </si>
  <si>
    <t>No. Ammonia attacks copper and its alloys; use steel flanges - A105 for typical cold-store temperatures, A350 LF2 where the design metal temperature is below -29 °C.</t>
  </si>
  <si>
    <t>Do you supply IBR-certified flanges for boiler steam lines?</t>
  </si>
  <si>
    <t>[CLIENT: answer truthfully - for example 'Yes, with IBR documentation for lines under the Indian Boiler Regulations' or 'Not currently; we supply non-IBR utility flanges.']</t>
  </si>
  <si>
    <t>What is the difference between A105 and A350 LF2?</t>
  </si>
  <si>
    <t>Both are carbon-steel forgings. A350 LF2 is made and tested for toughness at low temperature - Class 1 is impact-tested at -46 °C - so it is the choice for sub-zero design metal temperatures. A105 is the standard grade for ambient and elevated temperatures.</t>
  </si>
  <si>
    <t>Spectacle blind, spade &amp; spacer</t>
  </si>
  <si>
    <t>/products/flanges/spectacle-blind-flange/</t>
  </si>
  <si>
    <t>Positive isolation on refinery and fuel-gas lines during shutdowns</t>
  </si>
  <si>
    <t>How quickly can you deliver to Guntur for a breakdown?</t>
  </si>
  <si>
    <t>Transit is typically [CLIENT: X-Y days] after dispatch. State your shutdown or breakdown date in the form and we confirm what is realistic before you order.</t>
  </si>
  <si>
    <t>Remax Forge is a flanges manufacturer in Mumbai supplying Nellore's power stations, the Krishnapatnam port area, seafood processors and the EPC supply chain forming around BPCL's planned refinery near Ramayapatnam. Send sizes, classes and grades - or your project line list - through the form and we reply in writing [CLIENT: reply time].</t>
  </si>
  <si>
    <t>Socket weld</t>
  </si>
  <si>
    <t>/products/flanges/socket-weld-flange/</t>
  </si>
  <si>
    <t>Small-bore instrument and utility lines in pharma and refinery units</t>
  </si>
  <si>
    <t>What documents come with the delivery?</t>
  </si>
  <si>
    <t>A GST tax invoice with IGST, an e-way bill for consignments above Rs 50,000, a packing list and material test certificates matched to the heat numbers stamped on the flanges.</t>
  </si>
  <si>
    <t>Threaded</t>
  </si>
  <si>
    <t>/products/flanges/threaded-flange/</t>
  </si>
  <si>
    <t>Small, non-critical utility lines where hot work is restricted</t>
  </si>
  <si>
    <t>Are you a local flange supplier in Nellore, or do you ship from Mumbai?</t>
  </si>
  <si>
    <t>We supply Nellore from our Mumbai unit rather than through a local stockist. For project work that means one manufacturer's certificates and marking across the whole package.</t>
  </si>
  <si>
    <t>Lap joint (with stub end)</t>
  </si>
  <si>
    <t>/products/flanges/lap-joint-flange/</t>
  </si>
  <si>
    <t>Stainless lines that are dismantled for cleaning or inspection</t>
  </si>
  <si>
    <t>Can you supply flange packages for the BPCL Ramayapatnam refinery project?</t>
  </si>
  <si>
    <t>We quote to the EPC contractor's specifications and vendor document requirements. Large projects usually buy through approved vendor lists, so check the package's list first; where the owner allows new registrations we can support the process. [CLIENT: list any genuine registrations.]</t>
  </si>
  <si>
    <t>Nellore's flange demand, today and next</t>
  </si>
  <si>
    <t>Nellore's largest flange requirement is still ahead of it: a greenfield refinery-cum-petrochemical complex. Until construction peaks, power, port and seafood-processing plants drive steady maintenance and expansion demand.</t>
  </si>
  <si>
    <t>Thermal power</t>
  </si>
  <si>
    <t>Dr. Narla Tata Rao Thermal Power Station (APGENCO) at Ibrahimpatnam</t>
  </si>
  <si>
    <t>Boiler feedwater and steam, cooling water, fuel oil, ash handling</t>
  </si>
  <si>
    <t>A182 F11/F22 (F91 for higher-temperature steam) weld neck, Class 600-2500; A105 for cooling water and fuel oil; slip-on or plate flanges on lined ash-slurry lines</t>
  </si>
  <si>
    <t>When does a refinery line need A350 LF2 instead of A105?</t>
  </si>
  <si>
    <t>Specifying flanges for a refinery-petrochemical project: an EPC buyer's checklist</t>
  </si>
  <si>
    <t>When the design metal temperature can fall below -29 °C, which is common on LPG and other auto-refrigerating services. LF2 Class 1 is impact-tested at -46 °C.</t>
  </si>
  <si>
    <t>If you are pricing packages for the Ramayapatnam complex or a similar project, five lines on the enquiry decide whether a quote is usable:
1. Material specification and grade - for example ASTM A105, A350 LF2 Class 1, A182 F5, F9 or F316L - plus any supplementary requirements such as carbon-equivalent limits or hardness.
2. Service standard - NACE MR0103 / ISO 17945 for sour refining service, or none.
3. Design metal temperature - LPG, propylene and other auto-refrigerating services can chill piping well below -29 °C, which is where impact-tested A350 LF2 replaces A105.
4. Facing and finish - raised face with the specified finish, or ring-type joint grooves for higher classes.
5. Documentation - EN 10204 3.1 or 3.2 certificates, the inspection and test plan, the third-party inspection agency and marking requirements.
Get these right at enquiry stage and the quote can go straight into your technical bid evaluation.</t>
  </si>
  <si>
    <t>Each line break = new paragraph. Lines '1.'-'5.' = ordered list.</t>
  </si>
  <si>
    <t>Do you machine ring-type joint (RTJ) flanges?</t>
  </si>
  <si>
    <t>Flange types we supply to Nellore</t>
  </si>
  <si>
    <t>[CONFIRM] Yes - specify the ring number and groove finish on the enquiry.</t>
  </si>
  <si>
    <t>For project packages we quote full ranges - MS/carbon steel, low-temperature carbon steel, stainless, alloy and duplex - across sizes and classes from one manufacturer, which simplifies vendor documentation. [CLIENT: confirm range limits and whether B16.47 large-bore is made in-house.]</t>
  </si>
  <si>
    <t>Table columns: Flange type (link) | Typical use in Nellore.</t>
  </si>
  <si>
    <t>Which certificates do you issue?</t>
  </si>
  <si>
    <t>[CONFIRM] EN 10204 3.1 as standard; 3.2 when a purchaser-nominated third-party inspector witnesses the tests.</t>
  </si>
  <si>
    <t>Do you supply seafood-processing plants?</t>
  </si>
  <si>
    <t>[CONFIRM] Yes - steel flanges for ammonia refrigeration (A105 or LF2 depending on temperature), stainless flanges for process and chilled-brine lines, and super duplex where seawater wets the flange.</t>
  </si>
  <si>
    <t>Are you a local flange supplier in Kurnool, or do you ship from Mumbai?</t>
  </si>
  <si>
    <t>We have no office in Kurnool; flanges are made and dispatched in Mumbai and delivered to your site, so drawings and drilling questions go straight to the machine shop.</t>
  </si>
  <si>
    <t>Delivery to Nellore, Krishnapatnam and Ramayapatnam</t>
  </si>
  <si>
    <t>Road dispatch from Mumbai reaches Nellore city, Krishnapatnam and the Muthukur-Painampuram industrial area in typically [CLIENT: X-Y days]; Ramayapatnam sites are further up the coast [CLIENT: add days]. For project deliveries we can mark and pack by line or tag number so the site store can issue straight to the erection contractor [CONFIRM].
Invoices carry IGST as an inter-state supply, an e-way bill accompanies consignments above Rs 50,000, and material test certificates are traceable to the heat number stamped on each flange.</t>
  </si>
  <si>
    <t>Can you supply large-diameter flanges for lift-irrigation or pumped-storage projects?</t>
  </si>
  <si>
    <t>[CLIENT: confirm maximum size] Yes, drilled to ASME B16.47, AWWA C207, EN 1092-1 or IS 6392 as your specification requires, in plate or forged construction.</t>
  </si>
  <si>
    <t>How project flange packages are priced</t>
  </si>
  <si>
    <t>For project buying, price is driven by grade, class, facing, testing and documentation as much as by weight. [CLIENT: indicative Rs/kg bands for A105, LF2, F11/F22 and 316L.] Send the line list or MTO and we quote line by line, with freight shown separately [CONFIRM].</t>
  </si>
  <si>
    <t>What is the difference between AWWA C207 and ASME B16.5 flanges?</t>
  </si>
  <si>
    <t>Areas we deliver around Nellore</t>
  </si>
  <si>
    <t>AWWA C207 covers steel flanges for waterworks service from 4 inch up to 144 inch at waterworks pressures; ASME B16.5 covers NPS 1/2 to 24 in Classes 150-2500 for process piping. Up to 24 inch, AWWA C207 Class B, D and E flanges share the bolt circle and holes of ASME Class 150 (Class F matches Class 300), so they usually bolt together - the differences are thickness and pressure rating. Above 24 inch, and against EN 1092-1 PN flanges, check the drilling before ordering.</t>
  </si>
  <si>
    <t>We deliver across Nellore city, the Krishnapatnam port and power belt, Muthukur and Painampuram, Kavali and the coastal aquaculture clusters, with Ramayapatnam to the north and Sri City to the south. [CLIENT: adjust.]</t>
  </si>
  <si>
    <t>Should I choose plate or forged flanges for PN10/PN16 water mains?</t>
  </si>
  <si>
    <t>Plate flanges are usually adequate and more economical for low-pressure water service; forged flanges are specified where the pressure class, code or cyclic loading requires them. Follow your design specification.</t>
  </si>
  <si>
    <t>Can you drill flanges to match imported pumps or valves?</t>
  </si>
  <si>
    <t>Yes - send the mating equipment's drilling standard or a drawing and we machine to it [CONFIRM].</t>
  </si>
  <si>
    <t>How long does delivery to Kurnool take?</t>
  </si>
  <si>
    <t>Typically [CLIENT: X-Y days] in transit after dispatch; made-to-order large-bore flanges have their own production time, stated in the quote.</t>
  </si>
  <si>
    <t>Flange questions from Nellore buyers</t>
  </si>
  <si>
    <t>Are you a local flange supplier in Itanagar, or do you ship from Mumbai?</t>
  </si>
  <si>
    <t>There is no Remax stockist in Itanagar or Naharlagun. We plan each consignment from Mumbai to your site and send the manufacturer's certificates with it.</t>
  </si>
  <si>
    <t>Flange supply across Andhra Pradesh · Visakhapatnam · Sour-service NACE flanges · Low-temperature flanges · Flanges for oil &amp; gas</t>
  </si>
  <si>
    <t>Links: Flange supply across Andhra Pradesh → /market-area/andhra-pradesh/; Visakhapatnam → /visakhapatnam/; Sour-service NACE flanges → /products/flanges/sour-service-nace-flange/; Low-temperature flanges → /products/flanges/high-temperature-cryogenic-flange/; Flanges for oil &amp; gas → /industries/oil-and-gas/</t>
  </si>
  <si>
    <t>How long does delivery from Mumbai to Itanagar take?</t>
  </si>
  <si>
    <t>Typically [CLIENT: X-Y days] after dispatch by road via Guwahati; allow extra time in the monsoon.</t>
  </si>
  <si>
    <t>Does the transporter need an Inner Line Permit?</t>
  </si>
  <si>
    <t>Yes - non-resident crews need an ILP to enter Arunachal Pradesh. Our transporters arrange it [CONFIRM], and it is built into the delivery estimate.</t>
  </si>
  <si>
    <t>Industrial estates</t>
  </si>
  <si>
    <t>Kondapalli Industrial Development Area, Autonagar workshops and body builders, the Mallavalli industrial park</t>
  </si>
  <si>
    <t>Process piping, boilers and steam, compressed air, skids and fabricated assemblies</t>
  </si>
  <si>
    <t>A105 slip-on and weld neck, Class 150-300 RF; 304L/316L for food-processing utilities</t>
  </si>
  <si>
    <t>Is there a minimum order for delivery to Arunachal Pradesh?</t>
  </si>
  <si>
    <t>[CLIENT: state the minimum order value, or 'No minimum; freight is quoted at cost'.]</t>
  </si>
  <si>
    <t>Capital city construction</t>
  </si>
  <si>
    <t>Can you supply flanges drilled to match pumps for a water-supply scheme?</t>
  </si>
  <si>
    <t>Amaravati Capital Phase-I: the World Bank and ADB have committed US$1.6 billion, and contractors are mobilised on arterial roads, housing and government buildings and city-wide systems</t>
  </si>
  <si>
    <t>Yes - tell us the pump or valve drilling standard (ASME, EN 1092-1 PN10/PN16 or IS 6392) and we machine to it [CONFIRM].</t>
  </si>
  <si>
    <t>Water mains and pumping stations, sewerage and drainage, fire-fighting and HVAC plant rooms in large buildings</t>
  </si>
  <si>
    <t>Slip-on, blind and large-bore flanges drilled to AWWA C207, EN 1092-1 PN10/PN16 or IS 6392 as the tender specifies; A105 Class 150 for fire mains</t>
  </si>
  <si>
    <t>Can deliveries be combined with other Northeast orders?</t>
  </si>
  <si>
    <t>Where timelines allow, consolidating through Guwahati usually lowers freight. Mention it in the form [CONFIRM].</t>
  </si>
  <si>
    <t>Water &amp; irrigation</t>
  </si>
  <si>
    <t>Krishna river works around Prakasam Barrage, the delta canal system and municipal water supply</t>
  </si>
  <si>
    <t>Pump discharge headers, valve chambers, surge and air-release branches</t>
  </si>
  <si>
    <t>Large-diameter plate or slip-on flanges, PN10/PN16 or Class 150; blind flanges for future tap-offs</t>
  </si>
  <si>
    <t>Which Andhra Pradesh cities do you deliver to?</t>
  </si>
  <si>
    <t>Anywhere in the state by road from Mumbai. Our city pages cover Visakhapatnam, Vijayawada, Guntur, Nellore and Kurnool in detail; other locations are quoted the same way.</t>
  </si>
  <si>
    <t>Do you charge IGST on supplies to Andhra Pradesh?</t>
  </si>
  <si>
    <t>Power-station steam and feedwater lines</t>
  </si>
  <si>
    <t>Yes. Supplies from Maharashtra into Andhra Pradesh are inter-state, so GST is charged as IGST at the applicable rate.</t>
  </si>
  <si>
    <t>Can I get one quote for several sites in Andhra Pradesh?</t>
  </si>
  <si>
    <t>Yes - list the delivery location against each line of your BOQ and we price freight per site.</t>
  </si>
  <si>
    <t>Do you supply government and PSU projects?</t>
  </si>
  <si>
    <t>We supply the contractors who execute them, against the project specification. Where a project buys only from an approved vendor list, check that list first. [CLIENT: add genuine registrations, if any.]</t>
  </si>
  <si>
    <t>How do I send a BOQ or drawing?</t>
  </si>
  <si>
    <t>Upload it in the form on this page (PDF, Excel or drawing files). We reply by email with a line-by-line quote.</t>
  </si>
  <si>
    <t>Do you deliver to Tawang in winter?</t>
  </si>
  <si>
    <t>Yes, weather permitting. Snow on the route can delay trucks, so tell us your required date and we will advise the latest safe dispatch date [CLIENT: confirm].</t>
  </si>
  <si>
    <t>10. Lead capture - forms only. No phone number, no tel: link, no WhatsApp, no telephone in schema - anywhere.</t>
  </si>
  <si>
    <t>Form A = 2-step quick quote in the hero. Form B = full RFQ at #rfq. Form C = gated weight &amp; dimension chart. Every form carries the hidden fields below so each lead arrives tagged with its city and source.</t>
  </si>
  <si>
    <t>Which flanges suit sub-zero outdoor service?</t>
  </si>
  <si>
    <t>A. Form fields</t>
  </si>
  <si>
    <t>ASME B16.5 ratings are tabulated from -29 °C. If an exposed line's design metal temperature can go lower, specify impact-tested A350 LF2; otherwise A105 is the standard carbon-steel grade.</t>
  </si>
  <si>
    <t>Form</t>
  </si>
  <si>
    <t>Step</t>
  </si>
  <si>
    <t>Headers: Flange type | Typical use in Vijayawada (link column D to the URL in column E)</t>
  </si>
  <si>
    <t>Field label</t>
  </si>
  <si>
    <t>How are small orders to district towns priced?</t>
  </si>
  <si>
    <t>Field name</t>
  </si>
  <si>
    <t>Material is priced per line and freight is shown separately; consolidating through Guwahati or combining with a capital-region delivery often lowers the freight [CONFIRM].</t>
  </si>
  <si>
    <t>Required</t>
  </si>
  <si>
    <t>Options / placeholder / copy</t>
  </si>
  <si>
    <t>Validation / note</t>
  </si>
  <si>
    <t>Building fire mains and water pumping stations</t>
  </si>
  <si>
    <t>A - hero quick quote</t>
  </si>
  <si>
    <t>Flange type</t>
  </si>
  <si>
    <t>product</t>
  </si>
  <si>
    <t>select</t>
  </si>
  <si>
    <t>Do you have a stockist in Arunachal Pradesh?</t>
  </si>
  <si>
    <t>Weld neck · Slip-on · Blind · Spectacle blind / spade / spacer · Socket weld · Threaded · Lap joint · Mixed BOQ / other</t>
  </si>
  <si>
    <t>One option</t>
  </si>
  <si>
    <t>No. We supply directly from our Mumbai unit and send the manufacturer's certificates with every delivery.</t>
  </si>
  <si>
    <t>Size and class</t>
  </si>
  <si>
    <t>size_class</t>
  </si>
  <si>
    <t>text</t>
  </si>
  <si>
    <t>e.g. 4" Class 300 RF, or DN100 PN16</t>
  </si>
  <si>
    <t>2-120 chars</t>
  </si>
  <si>
    <t>Material / grade</t>
  </si>
  <si>
    <t>grade</t>
  </si>
  <si>
    <t>select + other</t>
  </si>
  <si>
    <t>Tap-offs and end closures on capital-region water mains</t>
  </si>
  <si>
    <t>A105 (MS / carbon steel) · A350 LF2 · SS 304/304L · SS 316/316L · F11 / F22 / F91 · Duplex / super duplex · Other</t>
  </si>
  <si>
    <t>One option; 'Other' opens a text box</t>
  </si>
  <si>
    <t>Quantity</t>
  </si>
  <si>
    <t>quantity</t>
  </si>
  <si>
    <t>number + unit</t>
  </si>
  <si>
    <t>e.g. 40 pcs</t>
  </si>
  <si>
    <t>Integer &gt; 0</t>
  </si>
  <si>
    <t>Name</t>
  </si>
  <si>
    <t>name</t>
  </si>
  <si>
    <t>2-80 chars</t>
  </si>
  <si>
    <t>Company</t>
  </si>
  <si>
    <t>company</t>
  </si>
  <si>
    <t>Fuel-oil and steam isolation during power-plant maintenance</t>
  </si>
  <si>
    <t>Work email</t>
  </si>
  <si>
    <t>email</t>
  </si>
  <si>
    <t>Valid email; quotes are sent here</t>
  </si>
  <si>
    <t>Phone (optional)</t>
  </si>
  <si>
    <t>phone</t>
  </si>
  <si>
    <t>tel</t>
  </si>
  <si>
    <t>Only if you want delivery updates</t>
  </si>
  <si>
    <t>Optional. Keep it optional - a required phone field costs B2B form completions</t>
  </si>
  <si>
    <t>Delivery location</t>
  </si>
  <si>
    <t>delivery_location</t>
  </si>
  <si>
    <t>Prefilled with the page city, editable</t>
  </si>
  <si>
    <t>Small-bore drains, vents and instrument lines</t>
  </si>
  <si>
    <t>Upload BOQ / drawing</t>
  </si>
  <si>
    <t>files</t>
  </si>
  <si>
    <t>file (multiple)</t>
  </si>
  <si>
    <t>PDF, XLS/XLSX, CSV, DOC/DOCX, DWG/DXF, JPG/PNG</t>
  </si>
  <si>
    <t>Max 10 MB each, 5 files; whitelist extensions server-side</t>
  </si>
  <si>
    <t>Anything else?</t>
  </si>
  <si>
    <t>message</t>
  </si>
  <si>
    <t>textarea</t>
  </si>
  <si>
    <t>Testing, certificates, delivery date</t>
  </si>
  <si>
    <t>Max 2,000 chars</t>
  </si>
  <si>
    <t>B - full RFQ (#rfq)</t>
  </si>
  <si>
    <t>All Form A fields, on one step, plus:</t>
  </si>
  <si>
    <t>Low-pressure utility branches in workshops and skids</t>
  </si>
  <si>
    <t>Facing</t>
  </si>
  <si>
    <t>facing</t>
  </si>
  <si>
    <t>RF · FF · RTJ · Not sure</t>
  </si>
  <si>
    <t>Standard / drilling</t>
  </si>
  <si>
    <t>standard</t>
  </si>
  <si>
    <t>ASME B16.5 · ASME B16.47 · EN 1092-1 · IS 6392 · AWWA C207 · To drawing · Not sure</t>
  </si>
  <si>
    <t>Testing &amp; certificates</t>
  </si>
  <si>
    <t>testing</t>
  </si>
  <si>
    <t>checkboxes</t>
  </si>
  <si>
    <t>NACE MR0175/MR0103 · IBR · Impact test · EN 10204 3.1 · EN 10204 3.2 · Third-party inspection</t>
  </si>
  <si>
    <t>Any; show only options the client confirmed in tab 15</t>
  </si>
  <si>
    <t>Stainless process lines in food-processing units</t>
  </si>
  <si>
    <t>Required by</t>
  </si>
  <si>
    <t>required_by</t>
  </si>
  <si>
    <t>date</t>
  </si>
  <si>
    <t>Today or later</t>
  </si>
  <si>
    <t>C - gated chart</t>
  </si>
  <si>
    <t>We email the chart link</t>
  </si>
  <si>
    <t>Valid email</t>
  </si>
  <si>
    <t>Max 120 chars</t>
  </si>
  <si>
    <t>All forms</t>
  </si>
  <si>
    <t>Privacy notice (under the button)</t>
  </si>
  <si>
    <t>Cold chain</t>
  </si>
  <si>
    <t>Chilli and produce cold storages serving the Guntur Mirchi Yard, and cold stores across the district</t>
  </si>
  <si>
    <t>We use these details only to prepare, send and follow up your quote. Privacy policy: [CLIENT: privacy policy URL]</t>
  </si>
  <si>
    <t>Ammonia refrigeration plant rooms: compressor discharge, condenser, receiver and liquid lines</t>
  </si>
  <si>
    <t>Have the client's counsel confirm the wording (DPDP Act 2023)</t>
  </si>
  <si>
    <t>Steel only - no brass, bronze or copper-nickel on ammonia. A105 weld neck or slip-on for typical cold-store temperatures; A350 LF2 where the design metal temperature falls below -29 °C (for example blast freezers)</t>
  </si>
  <si>
    <t>Honeypot</t>
  </si>
  <si>
    <t>website</t>
  </si>
  <si>
    <t>hidden text</t>
  </si>
  <si>
    <t>Visually hidden via CSS, tabindex=-1, autocomplete=off</t>
  </si>
  <si>
    <t>Reject submission if filled</t>
  </si>
  <si>
    <t>Time trap</t>
  </si>
  <si>
    <t>elapsed_ms</t>
  </si>
  <si>
    <t>hidden</t>
  </si>
  <si>
    <t>Filled by the script at submit: milliseconds since the page loaded (both times from the visitor's clock)</t>
  </si>
  <si>
    <t>Reject if under 3000. Never compare with the server clock - a visitor whose device clock runs fast would be rejected</t>
  </si>
  <si>
    <t>B. Hidden fields (added to every form)</t>
  </si>
  <si>
    <t>What it holds</t>
  </si>
  <si>
    <t>Set by</t>
  </si>
  <si>
    <t>page_url</t>
  </si>
  <si>
    <t>Full URL of the page the form was submitted from (no #fragment)</t>
  </si>
  <si>
    <t>JS on submit</t>
  </si>
  <si>
    <t>page_type</t>
  </si>
  <si>
    <t>city / hub / product / other - from &lt;body data-page-type&gt;</t>
  </si>
  <si>
    <t>Remax Forge is a flanges manufacturer in Mumbai supplying Kurnool's pumped-storage and renewable projects, lift-irrigation schemes, cement and mineral plants and the Orvakal industrial area. Send your sizes, drilling standard and material through the form - large-bore and custom-drilled flanges included [CLIENT: confirm] - and we reply in writing [CLIENT: reply time].</t>
  </si>
  <si>
    <t>city</t>
  </si>
  <si>
    <t>City name from &lt;body data-city&gt;, e.g. Visakhapatnam</t>
  </si>
  <si>
    <t>state</t>
  </si>
  <si>
    <t>State from &lt;body data-state&gt;, e.g. Andhra Pradesh</t>
  </si>
  <si>
    <t>form_id</t>
  </si>
  <si>
    <t>hero / rfq / chart / exit - from &lt;form data-rfq&gt;</t>
  </si>
  <si>
    <t>utm_source / utm_medium / utm_campaign / utm_term / utm_content</t>
  </si>
  <si>
    <t>From the landing URL; kept for the session</t>
  </si>
  <si>
    <t>JS (sessionStorage)</t>
  </si>
  <si>
    <t>gclid</t>
  </si>
  <si>
    <t>Google Ads click ID if present</t>
  </si>
  <si>
    <t>referrer</t>
  </si>
  <si>
    <t>document.referrer at landing, else '(direct)'</t>
  </si>
  <si>
    <t>landing_page</t>
  </si>
  <si>
    <t>First page of the session</t>
  </si>
  <si>
    <t>submitted_at</t>
  </si>
  <si>
    <t>Server timestamp (IST)</t>
  </si>
  <si>
    <t>Server</t>
  </si>
  <si>
    <t>C. Paste-ready attribution script - put before &lt;/body&gt; on every template (one line per row; copy column A)</t>
  </si>
  <si>
    <t>// Remax attribution: fills hidden inputs in every &lt;form data-rfq="..."&gt; on the page (vanilla JS, no libraries)</t>
  </si>
  <si>
    <t>(function () {</t>
  </si>
  <si>
    <t xml:space="preserve">  var T0 = Date.now();   // page-load time, measured on the visitor's own clock</t>
  </si>
  <si>
    <t xml:space="preserve">  var KEYS = ["utm_source", "utm_medium", "utm_campaign", "utm_term", "utm_content", "gclid"];</t>
  </si>
  <si>
    <t xml:space="preserve">  var qs = new URLSearchParams(window.location.search), store = {};</t>
  </si>
  <si>
    <t>Kurnool's flange demand is mostly water</t>
  </si>
  <si>
    <t xml:space="preserve">  try { store = JSON.parse(sessionStorage.getItem("rf_attr") || "{}"); } catch (e) {}</t>
  </si>
  <si>
    <t>Pumped storage, lift irrigation and pipelines dominate here, which means large diameters, lower pressures and drilling standards that must match imported valves and pumps.</t>
  </si>
  <si>
    <t xml:space="preserve">  KEYS.forEach(function (k) { if (qs.get(k)) store[k] = qs.get(k); });</t>
  </si>
  <si>
    <t xml:space="preserve">  if (!store.landing_page) store.landing_page = window.location.pathname;</t>
  </si>
  <si>
    <t xml:space="preserve">  if (!store.referrer) store.referrer = document.referrer || "(direct)";</t>
  </si>
  <si>
    <t xml:space="preserve">  try { sessionStorage.setItem("rf_attr", JSON.stringify(store)); } catch (e) {}</t>
  </si>
  <si>
    <t xml:space="preserve">  var b = document.body.dataset;   // &lt;body data-city="Visakhapatnam" data-state="Andhra Pradesh" data-page-type="city"&gt;</t>
  </si>
  <si>
    <t xml:space="preserve">  function setField(f, k, v) {</t>
  </si>
  <si>
    <t xml:space="preserve">    var el = f.querySelector('input[name="' + k + '"]');</t>
  </si>
  <si>
    <t>Plate flange or forged flange? Choosing for Kurnool's water projects</t>
  </si>
  <si>
    <t xml:space="preserve">    if (!el) { el = document.createElement("input"); el.type = "hidden"; el.name = k; f.appendChild(el); }</t>
  </si>
  <si>
    <t>Large water headers use a lot of flanges, so the construction method matters for cost.
Plate flanges are machined from steel plate and are economical for low-pressure water service at large diameters - typical of lift-irrigation and pipeline work at PN10/PN16. Forged flanges have a worked grain structure and are the choice where the design code, pressure class or cyclic loading calls for them, such as pump discharge branches on high-head equipment and pumped-storage auxiliaries at higher classes. [CLIENT: confirm which construction Remax offers at each size.]
Whichever you choose, specify the drilling standard - ASME B16.5/B16.47, AWWA C207, EN 1092-1 or IS 6392 - to match the valve or pump, and state the coating for buried or wet-well service.</t>
  </si>
  <si>
    <t xml:space="preserve">    el.value = v;</t>
  </si>
  <si>
    <t xml:space="preserve">  }</t>
  </si>
  <si>
    <t xml:space="preserve">  document.querySelectorAll("form[data-rfq]").forEach(function (f) {</t>
  </si>
  <si>
    <t xml:space="preserve">    var vals = Object.assign({}, store, {</t>
  </si>
  <si>
    <t xml:space="preserve">      page_url: window.location.href.split("#")[0], page_type: b.pageType || "",</t>
  </si>
  <si>
    <t xml:space="preserve">      city: b.city || "", state: b.state || "", form_id: f.dataset.rfq</t>
  </si>
  <si>
    <t xml:space="preserve">    });</t>
  </si>
  <si>
    <t xml:space="preserve">    Object.keys(vals).forEach(function (k) { setField(f, k, vals[k]); });</t>
  </si>
  <si>
    <t>Flange types we supply to Kurnool</t>
  </si>
  <si>
    <t xml:space="preserve">    // time trap: seconds on page, both times from the same clock - never compare with the server clock</t>
  </si>
  <si>
    <t>Standard MS (A105) and SS ranges ship from Mumbai; large-bore and custom-drilled flanges are made to order [CLIENT: confirm maximum diameter].</t>
  </si>
  <si>
    <t xml:space="preserve">    f.addEventListener("submit", function () { setField(f, "elapsed_ms", String(Date.now() - T0)); });</t>
  </si>
  <si>
    <t xml:space="preserve">  });</t>
  </si>
  <si>
    <t>})();</t>
  </si>
  <si>
    <t>D. After submit</t>
  </si>
  <si>
    <t>Table columns: Flange type (link) | Typical use in Kurnool.</t>
  </si>
  <si>
    <t>Item</t>
  </si>
  <si>
    <t>Spec / paste-ready copy</t>
  </si>
  <si>
    <t>Thank-you URL</t>
  </si>
  <si>
    <t>/thank-you/?form={form_id}&amp;city={city-slug}  e.g. /thank-you/?form=hero&amp;city=visakhapatnam</t>
  </si>
  <si>
    <t>Lets GA4 count leads by city and form from page views alone - no separate conversion setup needed. Page must be noindex and excluded from the sitemap.</t>
  </si>
  <si>
    <t>Thank-you page copy</t>
  </si>
  <si>
    <t>H1: Thank you - your enquiry is in.
What happens next: 1) we check sizes, grades and quantities; 2) you get a written, line-by-line quote by email [CLIENT: reply time]; 3) reply to that email to confirm or revise.
Need to add a drawing? Reply to the confirmation email with it attached.</t>
  </si>
  <si>
    <t>No phone number, no WhatsApp.</t>
  </si>
  <si>
    <t>Delivery to Kurnool, Orvakal and project sites</t>
  </si>
  <si>
    <t>Road dispatch from Mumbai reaches Kurnool city and Orvakal in typically [CLIENT: X-Y days]; project sites in Panyam and other mandals may need a site contact and access details for heavy or long loads, which you can add in the form. Large-diameter flanges are palletised or crated to protect the faces in transit [CONFIRM].
Invoices carry IGST; an e-way bill travels with consignments above Rs 50,000; certificates match the heat numbers on each flange.</t>
  </si>
  <si>
    <t>Lead email to sales</t>
  </si>
  <si>
    <t>To: [tab 15 I-35]  ·  Subject: RFQ | {city} | {product} | {company}
Body: every visible field, then every hidden field, then file links.</t>
  </si>
  <si>
    <t>The city in the subject lets sales sort by market at a glance.</t>
  </si>
  <si>
    <t>How large-bore water flanges are priced</t>
  </si>
  <si>
    <t>Large water flanges are priced mainly by weight and drilling; pumped-storage auxiliaries by grade and class. [CLIENT: indicative Rs/kg bands for plate and forged.] Upload your BOQ or drawings for a line-by-line quote.</t>
  </si>
  <si>
    <t>Autoresponder to the buyer</t>
  </si>
  <si>
    <t>Subject: We've received your flange enquiry - Remax Forge &amp; Fittings
Hello {name},
Thank you for your enquiry for {product} for delivery to {delivery_location}. We will send you a written, line-by-line quote by email [CLIENT: reply time].
To speed things up, reply to this email with any drawing, BOQ or line list you have not attached yet, and mention testing or certificate needs (NACE, IBR, EN 10204 3.1/3.2, third-party inspection).
Regards,
Remax Forge &amp; Fittings
Mumbai, Maharashtra · GSTIN 27FFLPP0007K1ZA
https://remaxforge.com/</t>
  </si>
  <si>
    <t>Signature without phone or WhatsApp keeps the written-quote model consistent.</t>
  </si>
  <si>
    <t>Areas we deliver around Kurnool</t>
  </si>
  <si>
    <t>Spam protection</t>
  </si>
  <si>
    <t>We deliver across Kurnool city, the Orvakal industrial area, Panyam and Nandyal, and cement and mineral sites in the Kurnool-Nandyal belt. [CLIENT: adjust.] For the rest of Andhra Pradesh see our state page.</t>
  </si>
  <si>
    <t>Honeypot + 3-second time trap + Cloudflare Turnstile or reCAPTCHA v3 (invisible) + server-side validation + rate limit (5 submissions per IP per hour).</t>
  </si>
  <si>
    <t>Agro-processing</t>
  </si>
  <si>
    <t>Cotton ginning and spinning mills, edible-oil and solvent-extraction plants, food and tobacco processing units</t>
  </si>
  <si>
    <t>Boiler steam and condensate, thermic-fluid heating, compressed air, solvent lines</t>
  </si>
  <si>
    <t>A105 weld neck, Class 150-300; IBR documentation where steam lines fall under the Indian Boiler Regulations [CLIENT: confirm IBR supply]</t>
  </si>
  <si>
    <t>No math captcha, no visible challenge unless the invisible check fails.</t>
  </si>
  <si>
    <t>Bottom bar: 'Get a written quote' → #rfq. Appears after 30% scroll, hides while a form is visible.</t>
  </si>
  <si>
    <t>Mobile only. No phone / WhatsApp icon.</t>
  </si>
  <si>
    <t>Exit intent (desktop only)</t>
  </si>
  <si>
    <t>Headline: 'Before you go - get our flange weight &amp; dimension chart.'  Body: 'Free PDF for 1/2" to 24", Class 150 to 2500. We email it to you.'  Form C.  Show once per session, not before 20 s.</t>
  </si>
  <si>
    <t>Capital-region building</t>
  </si>
  <si>
    <t>Tadepalli, Mangalagiri and Thullur mandals of Guntur district, part of the Amaravati capital area</t>
  </si>
  <si>
    <t>Fire-fighting mains, HVAC chilled water, pump rooms in large buildings</t>
  </si>
  <si>
    <t>Chart must be built from Remax's own drawings / production data - do not copy ASME tables verbatim (ASME text is copyrighted).</t>
  </si>
  <si>
    <t>A105 slip-on and blind flanges, Class 150 or PN16 to match the equipment drilling</t>
  </si>
  <si>
    <t>Response SLA (internal)</t>
  </si>
  <si>
    <t>Every city RFQ answered within [CLIENT: reply time] - the page promises it.</t>
  </si>
  <si>
    <t>Flange questions from Kurnool buyers</t>
  </si>
  <si>
    <t>Track reply time monthly with the KPIs in tab 16.</t>
  </si>
  <si>
    <t>Measurement note</t>
  </si>
  <si>
    <t>The client earlier declined form-conversion tracking; the thank-you URL + hidden fields give per-city lead counts without it. Confirm GTM-RF2026X is published (tab 15 I-40).</t>
  </si>
  <si>
    <t>Flange supply across Andhra Pradesh · Pipe flanges guide · Vijayawada (Class 150 vs PN16 drilling)</t>
  </si>
  <si>
    <t>Krishna Western Delta canals and drinking-water schemes across the district</t>
  </si>
  <si>
    <t>Pump discharge headers and valve chambers</t>
  </si>
  <si>
    <t>Daily log A-11.</t>
  </si>
  <si>
    <t>Plate or slip-on flanges, PN10/PN16 or Class 150; IS 6392 where specified</t>
  </si>
  <si>
    <t>Links: Flange supply across Andhra Pradesh → /market-area/andhra-pradesh/; Pipe flanges guide → /blogs/pipe-flanges-guide/; Vijayawada (Class 150 vs PN16 drilling) → /vijayawada/</t>
  </si>
  <si>
    <t>Ammonia plant-room headers and boiler steam mains</t>
  </si>
  <si>
    <t>Remax Forge is a flanges manufacturer in Mumbai supplying contractors, departments and plant operators across the Itanagar capital region - Itanagar, Naharlagun, Nirjuli and Doimukh. Tell us what you need in the form and we reply in writing with price, dispatch date and a realistic delivery estimate for Arunachal Pradesh [CLIENT: reply time].</t>
  </si>
  <si>
    <t>Headers: Flange type | Typical use in Guntur (link column D to the URL in column E)</t>
  </si>
  <si>
    <t>Where flanges go in the capital region</t>
  </si>
  <si>
    <t>In and around Itanagar, flanges go mainly into water supply, public buildings and hydropower auxiliaries. Quantities are modest, so planning the logistics matters as much as the price.</t>
  </si>
  <si>
    <t>Condenser water and mill utility lines</t>
  </si>
  <si>
    <t>Planning a flange delivery to Arunachal Pradesh</t>
  </si>
  <si>
    <t>Getting flanges to Itanagar is usually straightforward, but three things catch first-time buyers out.
Permits. Anyone from outside the state who enters Arunachal Pradesh - including a truck's crew - needs an Inner Line Permit. We use transporters who handle this routinely [CONFIRM], but allow for it in your timeline.
Monsoon. Landslide closures on hill roads are common in the monsoon months, so build a buffer into June-September deliveries and tell us your latest acceptable date.
Consolidation. Small orders travel more economically when consolidated through Guwahati. If you can accept a slightly longer lead time, say so in the form and we will quote the cheaper route [CONFIRM offered].</t>
  </si>
  <si>
    <t>End closures and future connections on utility headers</t>
  </si>
  <si>
    <t>Flange types we supply to Itanagar &amp; Naharlagun</t>
  </si>
  <si>
    <t>Most capital-region orders are MS/carbon-steel slip-on, weld neck and blind flanges in standard sizes; stainless and alloy grades are available for plant auxiliaries [CLIENT: confirm].</t>
  </si>
  <si>
    <t>Isolation on ammonia and steam lines during maintenance</t>
  </si>
  <si>
    <t>Table columns: Flange type (link) | Typical use in Itanagar &amp; Naharlagun.</t>
  </si>
  <si>
    <t>Small-bore ammonia and instrument connections</t>
  </si>
  <si>
    <t>Compressed-air and low-pressure water branches</t>
  </si>
  <si>
    <t>Delivery to Itanagar, Naharlagun and Doimukh</t>
  </si>
  <si>
    <t>Stainless utility lines in food and spice processing</t>
  </si>
  <si>
    <t>Consignments travel by road from Mumbai via Guwahati, entering Arunachal at the Banderdewa check gate, and typically reach the capital region [CLIENT: X-Y days] after dispatch [CLIENT: confirm route, and whether rail to Naharlagun is an option]. Invoices carry IGST as an inter-state supply, an e-way bill accompanies consignments above Rs 50,000, and material test certificates match each flange's heat number.</t>
  </si>
  <si>
    <t>Refinery &amp; petrochemicals (upcoming)</t>
  </si>
  <si>
    <t>BPCL's greenfield refinery-cum-petrochemical complex near Ramayapatnam Port: 9-12 MMTPA, about Rs 1 lakh crore; 6,000 acres allotted in October 2025; feasibility and clearances in progress</t>
  </si>
  <si>
    <t>Crude and product lines, hydrogen and sour-water systems, LPG and olefin storage, cooling-water mains</t>
  </si>
  <si>
    <t>Freight and pricing for small Northeast orders</t>
  </si>
  <si>
    <t>A105 and A350 LF2 weld neck RF/RTJ across Class 150-1500; A182 F5/F9 for hot sulphur-bearing service; NACE MR0103 / ISO 17945 for wet H2S; ASME B16.47 large-bore for cooling water</t>
  </si>
  <si>
    <t>Freight is a bigger share of the cost on small Northeast orders, so we show it as a separate line and suggest consolidation where it saves money [CONFIRM]. [CLIENT: indicative Rs/kg bands.]</t>
  </si>
  <si>
    <t>Areas we deliver in the capital region</t>
  </si>
  <si>
    <t>We deliver across Itanagar, Naharlagun, Nirjuli, Banderdewa and Doimukh. Tawang, Ziro, Pasighat and the rest of the state are covered on our Arunachal Pradesh page.</t>
  </si>
  <si>
    <t>Flange questions from Itanagar &amp; Naharlagun buyers</t>
  </si>
  <si>
    <t>Flange supply across Arunachal Pradesh · Pipe flanges guide</t>
  </si>
  <si>
    <t>Links: Flange supply across Arunachal Pradesh → /market-area/arunachal-pradesh/; Pipe flanges guide → /blogs/pipe-flanges-guide/</t>
  </si>
  <si>
    <t>P (intro) + Form A</t>
  </si>
  <si>
    <t>Remax Forge manufactures flanges in Mumbai and supplies them across Andhra Pradesh - from the steel, refinery and port cluster around Visakhapatnam to the power and port belt of Nellore, the capital-region works around Vijayawada and Guntur, and the pumped-storage and irrigation projects of Kurnool. Pick your city below, or send your requirement straight through the form.</t>
  </si>
  <si>
    <t>Sri Damodaram Sanjeevaiah Thermal Power Station (APGENCO) and private coal-fired stations in the Krishnapatnam-Painampuram area</t>
  </si>
  <si>
    <t>Main and reheat steam, feedwater, cooling water, fuel oil</t>
  </si>
  <si>
    <t>A182 F11/F22/F91 weld neck, Class 600-2500; A105 for water and oil; B16.47 flanges on large cooling-water headers</t>
  </si>
  <si>
    <t>4.1</t>
  </si>
  <si>
    <t>Hub section</t>
  </si>
  <si>
    <t>North coast: Visakhapatnam and Anakapalli</t>
  </si>
  <si>
    <t>The state's heaviest flange demand: Visakhapatnam Steel Plant, AM/NS India's 8.2 MTPA plant at Rajayyapeta (foundation stone laid March 2026), HPCL's Visakh Refinery, the Visakhapatnam and Gangavaram ports, Hindustan Shipyard and Jawaharlal Nehru Pharma City. Expect chrome-moly for steam, NACE MR0103 for sour refinery service, stainless for marine air, super duplex where seawater wets the flange, and oxygen-service cleaning for steel-plant gas lines. See: Flange supplier in Visakhapatnam.</t>
  </si>
  <si>
    <t>Ports &amp; bulk handling</t>
  </si>
  <si>
    <t>Krishnapatnam Port and Ramayapatnam Port</t>
  </si>
  <si>
    <t>Fire-water, fuel oil, dust-suppression water, hydraulic systems</t>
  </si>
  <si>
    <t>A105 painted or galvanised; 316L or duplex where seawater contacts the flange</t>
  </si>
  <si>
    <t>11. Schema JSON-LD - copy the VALUE of column D into &lt;script type="application/ld+json"&gt; on each page</t>
  </si>
  <si>
    <t>Link each city name in this section to its page (slash form).</t>
  </si>
  <si>
    <t>4.2</t>
  </si>
  <si>
    <t>Live formulas: page names come from tab 6, FAQ text from tab 9, company details from tab 15 - edit those tabs, never this one. No telephone property anywhere (standing rule). No Product, Offer or LocalBusiness on city pages.</t>
  </si>
  <si>
    <t>Krishna-Guntur: Vijayawada, Guntur and Amaravati</t>
  </si>
  <si>
    <t>Aquaculture &amp; seafood processing</t>
  </si>
  <si>
    <t>Shrimp hatcheries, processing and freezing plants along the Nellore coast</t>
  </si>
  <si>
    <t>Where it goes</t>
  </si>
  <si>
    <t>Ammonia refrigeration for blast freezers, brine and seawater intake, effluent treatment</t>
  </si>
  <si>
    <t>A350 LF2 for sub-zero refrigeration lines (steel only on ammonia); 316L, duplex or non-metallic systems on seawater intake</t>
  </si>
  <si>
    <t>JSON-LD (copy the cell value)</t>
  </si>
  <si>
    <t>Characters</t>
  </si>
  <si>
    <t>Telephone check</t>
  </si>
  <si>
    <t>Power at Ibrahimpatnam, the Kondapalli industrial area, cold storage and agro-processing around Guntur, and the Amaravati capital build, where the World Bank and ADB have committed US$1.6 billion to Phase-I. Water and building-services work here turns on drilling standards (ASME Class 150 versus EN PN10/PN16 or IS 6392), while cold stores need steel-only ammonia piping. See: Flange supplier in Vijayawada; Flange supplier in Guntur.</t>
  </si>
  <si>
    <t>Placeholders</t>
  </si>
  <si>
    <t>SITEWIDE</t>
  </si>
  <si>
    <t>every page</t>
  </si>
  <si>
    <t>Site layout &lt;head&gt;, once. Coordinate with daily-log ticket T2-a so only ONE Organization node exists.</t>
  </si>
  <si>
    <t>4.3</t>
  </si>
  <si>
    <t>South coast: Nellore, Krishnapatnam and Ramayapatnam</t>
  </si>
  <si>
    <t>Thermal power and the Krishnapatnam port today; tomorrow, BPCL's 9-12 MMTPA refinery-cum-petrochemical complex near Ramayapatnam Port, on 6,000 acres allotted in October 2025. Project buyers should specify low-temperature LF2, NACE and RTJ requirements at enquiry stage. See: Flange supplier in Nellore.</t>
  </si>
  <si>
    <t>Refinery, petrochemical and power piping</t>
  </si>
  <si>
    <t>4.4</t>
  </si>
  <si>
    <t>Rayalaseema: Kurnool and Nandyal</t>
  </si>
  <si>
    <t>Greenko's Pinnapuram project combines 1,200 MW of pumped storage with solar and wind; lift-irrigation schemes and cement plants add steady demand for large-bore water flanges and utility grades. See: Flange supplier in Kurnool.</t>
  </si>
  <si>
    <t>4.5</t>
  </si>
  <si>
    <t>Other Andhra Pradesh cities</t>
  </si>
  <si>
    <t>[DEV: link other Andhra Pradesh city pages only if they exist and have been rebuilt to this standard - e.g. Kakinada, Rajahmundry, Tirupati. Do not link thin template pages from this hub.]</t>
  </si>
  <si>
    <t>4.6</t>
  </si>
  <si>
    <t>Ordering from Mumbai for delivery in Andhra Pradesh</t>
  </si>
  <si>
    <t>Every order is quoted in writing and shipped by road from our Mumbai unit. Supplies into Andhra Pradesh are inter-state, so invoices carry IGST, and an e-way bill travels with each consignment above Rs 50,000. Material test certificates are traceable to the heat number stamped on every flange. Typical transit after dispatch: Visakhapatnam [CLIENT: days], Vijayawada [CLIENT: days], Guntur [CLIENT: days], Nellore [CLIENT: days], Kurnool [CLIENT: days].</t>
  </si>
  <si>
    <t>4.7</t>
  </si>
  <si>
    <t>Standards we supply to</t>
  </si>
  <si>
    <t>ASME B16.5 and B16.47 (Series A and B), EN 1092-1, AWWA C207 and IS 6392 drilling, with NACE MR0103 / MR0175 compliance on request. [CLIENT: delete any standard not supplied.]</t>
  </si>
  <si>
    <t>Headers: Flange type | Typical use in Nellore (link column D to the URL in column E)</t>
  </si>
  <si>
    <t>Port fire-water and cooling-water lines</t>
  </si>
  <si>
    <t>Hydrotest closures and future tie-ins on project headers</t>
  </si>
  <si>
    <t>Questions about flange supply to Andhra Pradesh</t>
  </si>
  <si>
    <t>Process isolation in refinery units</t>
  </si>
  <si>
    <t>Visakhapatnam · Vijayawada · Guntur · Nellore · Kurnool · All flange types</t>
  </si>
  <si>
    <t>Links: Visakhapatnam → /visakhapatnam/; Vijayawada → /vijayawada/; Guntur → /guntur/; Nellore → /nellore/; Kurnool → /kurnool/; All flange types → /products/flanges/</t>
  </si>
  <si>
    <t>Small-bore process and instrument lines</t>
  </si>
  <si>
    <t>Low-pressure utilities on port and aquaculture sites</t>
  </si>
  <si>
    <t>Stainless seawater and brine lines dismantled for cleaning</t>
  </si>
  <si>
    <t>Pumped storage &amp; hydro</t>
  </si>
  <si>
    <t>Greenko's Pinnapuram Integrated Renewable Energy Project (Panyam mandal): 1,200 MW closed-loop pumped storage with 1,000 MW solar and 550 MW wind in phase I</t>
  </si>
  <si>
    <t>Cooling-water, drainage and dewatering systems, compressed air, lubrication and governor oil, bypass lines around inlet valves</t>
  </si>
  <si>
    <t>A105 weld neck, slip-on and blind, Class 150-600; large-bore to ASME B16.47 or AWWA C207; 316L for oil and instrument lines</t>
  </si>
  <si>
    <t>Remax Forge supplies flanges from its Mumbai unit to projects across Arunachal Pradesh - hydropower stations and their auxiliaries, water-supply schemes, public buildings and road works. Most orders go to the Itanagar capital region; we also deliver to district towns such as Tawang, Ziro and Pasighat with planned logistics.</t>
  </si>
  <si>
    <t>12. Internal links, 301 redirects, sitemap and indexing order</t>
  </si>
  <si>
    <t>Every href in slash form (C-01). No internal link may point at a redirected URL. Sections B-D follow the Option A/B switch in tab 1 and the READY gate in tab 6.</t>
  </si>
  <si>
    <t>A. Internal link map - add every link below (anchors are descriptive; vary them, never 'click here')</t>
  </si>
  <si>
    <t>From page</t>
  </si>
  <si>
    <t>To URL</t>
  </si>
  <si>
    <t>Anchor text</t>
  </si>
  <si>
    <t>Placement</t>
  </si>
  <si>
    <t>Slash check</t>
  </si>
  <si>
    <t>Where flanges are used in Arunachal Pradesh</t>
  </si>
  <si>
    <t>Hydropower is the state's largest industrial user of piping: Subansiri Lower (NHPC) on the Assam border, Kameng, Pare and Ranganadi (NEEPCO) and the Dibang Multipurpose Project. Their cooling-water, drainage, compressed-air and oil systems use standard carbon-steel and stainless flanges, with large-bore flanges on water headers. Water-supply schemes, hospitals, public buildings and border roads account for most other orders.</t>
  </si>
  <si>
    <t>Flange supply across Andhra Pradesh</t>
  </si>
  <si>
    <t>Related pages (section 13)</t>
  </si>
  <si>
    <t>The capital region is where most of our Arunachal deliveries go - water supply, hospitals and public buildings, and hydro auxiliaries near Doimukh. See: Flange supplier in Itanagar &amp; Naharlagun.</t>
  </si>
  <si>
    <t>Demand in Tawang comes from water supply, public buildings and defence and border infrastructure, at high altitude with cold winters. The route climbs over Sela Pass, now bypassed by the Sela Tunnel, so plan winter deliveries around the weather. ASME B16.5 ratings start at -29 °C; where an exposed line's design metal temperature can fall below that, specify impact-tested A350 LF2 instead of A105.</t>
  </si>
  <si>
    <t>Also the breadcrumb's state level.</t>
  </si>
  <si>
    <t>Nellore (refinery projects)</t>
  </si>
  <si>
    <t>Ziro, headquarters of Lower Subansiri district, sits near the Ranganadi project's dam at Yazali. Requirements are mostly water supply and building services plus maintenance spares for hydro auxiliaries - typically carbon-steel slip-on, weld neck and blind flanges in standard sizes.</t>
  </si>
  <si>
    <t>/products/flanges/sour-service-nace-flange/</t>
  </si>
  <si>
    <t>Sour-service NACE flanges</t>
  </si>
  <si>
    <t>/industries/oil-and-gas/</t>
  </si>
  <si>
    <t>Flanges for oil &amp; gas</t>
  </si>
  <si>
    <t>Pasighat, headquarters of East Siang district on the Siang river, buys flanges mainly for water supply, public buildings and institutions. Large hydro on the Siang is still at the proposal stage, so current demand is scheme-based: standard carbon-steel and galvanised flanges in PN10/PN16 or Class 150.</t>
  </si>
  <si>
    <t>/blogs/pipe-flanges-guide/</t>
  </si>
  <si>
    <t>Pipe flanges guide</t>
  </si>
  <si>
    <t>/products/flanges/&lt;type&gt;/</t>
  </si>
  <si>
    <t>The 7 flange-type names (tab 8b, column D)</t>
  </si>
  <si>
    <t>Product range table (section 6)</t>
  </si>
  <si>
    <t>Getting flanges into Arunachal Pradesh</t>
  </si>
  <si>
    <t>Consignments move by road via Guwahati. Crews from outside the state need an Inner Line Permit, which our transporters arrange [CONFIRM]; district towns add distance and, in the monsoon, landslide risk - give us your latest acceptable date and we plan backwards from it. Delivery details for the capital are on the Itanagar page.</t>
  </si>
  <si>
    <t>7 links, URLs in tab 8b column E. Also feeds the unindexed product estate (daily log A-64) with correctly formed links.</t>
  </si>
  <si>
    <t>Solar parks</t>
  </si>
  <si>
    <t>Kurnool Ultra Mega Solar Park (Panyam) and project sites across the district</t>
  </si>
  <si>
    <t>Module-cleaning water networks, fire-fighting at substations</t>
  </si>
  <si>
    <t>Galvanised slip-on and blind flanges, Class 150 or PN10/PN16</t>
  </si>
  <si>
    <t>Kurnool (large-bore water projects)</t>
  </si>
  <si>
    <t>Lift irrigation &amp; water supply</t>
  </si>
  <si>
    <t>Handri-Neeva and other lift schemes; municipal water supply</t>
  </si>
  <si>
    <t>Pump discharge headers, surge vessels, air-release and scour branches</t>
  </si>
  <si>
    <t>Large-diameter plate or slip-on flanges, PN10/PN16 or Class 150, IS 6392 where specified; blind flanges for future connections</t>
  </si>
  <si>
    <t>Vijayawada &amp; Amaravati</t>
  </si>
  <si>
    <t>/products/flanges/high-temperature-cryogenic-flange/</t>
  </si>
  <si>
    <t>Low-temperature flanges</t>
  </si>
  <si>
    <t>Cement, minerals &amp; industry</t>
  </si>
  <si>
    <t>Cement and limestone units across the Kurnool-Nandyal belt; the Orvakal industrial area</t>
  </si>
  <si>
    <t>Kiln and cooler utilities, fuel oil, compressed air, process water</t>
  </si>
  <si>
    <t>A105 slip-on and weld neck, Class 150-300 RF</t>
  </si>
  <si>
    <t>Questions about flange supply to Arunachal Pradesh</t>
  </si>
  <si>
    <t>Pumped-storage auxiliaries at higher pressure classes</t>
  </si>
  <si>
    <t>Itanagar &amp; Naharlagun · All flange types</t>
  </si>
  <si>
    <t>Links: Itanagar &amp; Naharlagun → /itanagar/; All flange types → /products/flanges/</t>
  </si>
  <si>
    <t>/market-area/</t>
  </si>
  <si>
    <t>Vijayawada (Class 150 vs PN16 drilling)</t>
  </si>
  <si>
    <t>Flange supply across Arunachal Pradesh</t>
  </si>
  <si>
    <t>P (intro)</t>
  </si>
  <si>
    <t>Hub section text + related list</t>
  </si>
  <si>
    <t>Pick your state to see the industries we supply there, what their piping engineers usually specify, delivery times and the documents that travel with every consignment. Every enquiry gets a written, line-by-line quote by email.</t>
  </si>
  <si>
    <t>Headers: Flange type | Typical use in Kurnool (link column D to the URL in column E)</t>
  </si>
  <si>
    <t>State list</t>
  </si>
  <si>
    <t>Choose your state</t>
  </si>
  <si>
    <t>Andhra Pradesh · Arunachal Pradesh</t>
  </si>
  <si>
    <t>Lift-irrigation headers and solar-park water networks</t>
  </si>
  <si>
    <t>Links: Andhra Pradesh → /market-area/andhra-pradesh/; Arunachal Pradesh → /market-area/arunachal-pradesh/. Add each new state hub as it ships; until then, list live city pages grouped by state.</t>
  </si>
  <si>
    <t>End closures and future branches on water mains</t>
  </si>
  <si>
    <t>/products/flanges/</t>
  </si>
  <si>
    <t>All flange types</t>
  </si>
  <si>
    <t>Oil and water isolation during turbine maintenance</t>
  </si>
  <si>
    <t>Small-bore oil, air and instrument lines</t>
  </si>
  <si>
    <t>State list (section 4)</t>
  </si>
  <si>
    <t>Low-pressure module-cleaning water branches</t>
  </si>
  <si>
    <t>Sitewide footer (every template)</t>
  </si>
  <si>
    <t>Areas we supply</t>
  </si>
  <si>
    <t>Footer</t>
  </si>
  <si>
    <t>Gives /market-area/ - and through it every hub and city page - a crawl path from every page on the site.</t>
  </si>
  <si>
    <t>Stainless lines that need frequent dismantling</t>
  </si>
  <si>
    <t>Organization (with GSTIN as vatID), WebSite, Person (Vikas Purohit, CEO). Optional parts appear only when tab 15 rows I-10, I-11, I-32, I-33, I-34 are filled.</t>
  </si>
  <si>
    <t>Flange supply in Visakhapatnam</t>
  </si>
  <si>
    <t>Body - short 'Where we supply' block</t>
  </si>
  <si>
    <t>That page's &lt;head&gt; (or end of &lt;body&gt;)</t>
  </si>
  <si>
    <t>Optional. The industry page exists but is itself unlinked (daily log A-44) - link it first or this link carries little.</t>
  </si>
  <si>
    <t>Flanges for Nellore refinery projects</t>
  </si>
  <si>
    <t>Body - same block</t>
  </si>
  <si>
    <t>Optional.</t>
  </si>
  <si>
    <t>/products/flanges/ (flange hub)</t>
  </si>
  <si>
    <t>Where we supply flanges in India</t>
  </si>
  <si>
    <t>Hub body or hub footer</t>
  </si>
  <si>
    <t>Optional. The hub is orphaned too (daily log A-16) - ship T1-j first.</t>
  </si>
  <si>
    <t>Any existing page that links to /naharlagun/, /pasighat/, /tawang/ or /ziro/</t>
  </si>
  <si>
    <t>The target page's own name (e.g. 'Flange supplier in Itanagar &amp; Naharlagun')</t>
  </si>
  <si>
    <t>Wherever the old link sits (lists, footers, HTML sitemap)</t>
  </si>
  <si>
    <t>Links to a redirect waste crawl and slow the move of signals to the target.</t>
  </si>
  <si>
    <t>B. 301 redirects - single hop, both URL forms (Option A only; switch on the day the target page is live)</t>
  </si>
  <si>
    <t>Old URL</t>
  </si>
  <si>
    <t>Redirect to</t>
  </si>
  <si>
    <t>Active?</t>
  </si>
  <si>
    <t>Test command</t>
  </si>
  <si>
    <t>Expected result</t>
  </si>
  <si>
    <t>https://remaxforge.com/naharlagun</t>
  </si>
  <si>
    <t>301</t>
  </si>
  <si>
    <t>curl -sI https://remaxforge.com/naharlagun | grep -iE "^(HTTP|location)"</t>
  </si>
  <si>
    <t>HTTP/... 301  +  location: https://remaxforge.com/itanagar/  (one hop; the target returns 200)</t>
  </si>
  <si>
    <t>Target must be live and READY first: /itanagar/ rebuild (C-15)</t>
  </si>
  <si>
    <t>Water supply</t>
  </si>
  <si>
    <t>https://remaxforge.com/naharlagun/</t>
  </si>
  <si>
    <t>Public Health Engineering and Jal Jeevan Mission schemes, treatment plants and pumping stations</t>
  </si>
  <si>
    <t>Pump discharge, valve chambers, treatment-plant piping</t>
  </si>
  <si>
    <t>Galvanised or coated slip-on and blind flanges, PN10/PN16 or Class 150; IS 6392 where the tender specifies</t>
  </si>
  <si>
    <t>curl -sI https://remaxforge.com/naharlagun/ | grep -iE "^(HTTP|location)"</t>
  </si>
  <si>
    <t>https://remaxforge.com/pasighat</t>
  </si>
  <si>
    <t>curl -sI https://remaxforge.com/pasighat | grep -iE "^(HTTP|location)"</t>
  </si>
  <si>
    <t>HTTP/... 301  +  location: https://remaxforge.com/market-area/arunachal-pradesh/  (one hop; the target returns 200)</t>
  </si>
  <si>
    <t>Target must be live and READY first: Arunachal hub (C-15)</t>
  </si>
  <si>
    <t>https://remaxforge.com/pasighat/</t>
  </si>
  <si>
    <t>curl -sI https://remaxforge.com/pasighat/ | grep -iE "^(HTTP|location)"</t>
  </si>
  <si>
    <t>https://remaxforge.com/tawang</t>
  </si>
  <si>
    <t>curl -sI https://remaxforge.com/tawang | grep -iE "^(HTTP|location)"</t>
  </si>
  <si>
    <t>https://remaxforge.com/tawang/</t>
  </si>
  <si>
    <t>curl -sI https://remaxforge.com/tawang/ | grep -iE "^(HTTP|location)"</t>
  </si>
  <si>
    <t>https://remaxforge.com/ziro</t>
  </si>
  <si>
    <t>curl -sI https://remaxforge.com/ziro | grep -iE "^(HTTP|location)"</t>
  </si>
  <si>
    <t>https://remaxforge.com/ziro/</t>
  </si>
  <si>
    <t>curl -sI https://remaxforge.com/ziro/ | grep -iE "^(HTTP|location)"</t>
  </si>
  <si>
    <t>Every page URL without the trailing slash</t>
  </si>
  <si>
    <t>Same URL with /</t>
  </si>
  <si>
    <t>301 or 308</t>
  </si>
  <si>
    <t>curl -sI https://remaxforge.com/visakhapatnam | grep -iE "^(HTTP|location)"</t>
  </si>
  <si>
    <t>301/308  +  location: https://remaxforge.com/visakhapatnam/</t>
  </si>
  <si>
    <t>Sitewide rule - C-01 / daily-log T1-b (trailingSlash: true).</t>
  </si>
  <si>
    <t>http:// and www. variants</t>
  </si>
  <si>
    <t>https://remaxforge.com + same path</t>
  </si>
  <si>
    <t>curl -sI http://www.remaxforge.com/visakhapatnam/ | grep -iE "^(HTTP|location)"</t>
  </si>
  <si>
    <t>One hop to https://remaxforge.com/visakhapatnam/</t>
  </si>
  <si>
    <t>Not tested in this audit - verify; keep every variant a single hop.</t>
  </si>
  <si>
    <t>Never chain: /naharlagun -&gt; /naharlagun/ -&gt; /itanagar/ is two hops. Redirect both forms straight to the target.</t>
  </si>
  <si>
    <t>Keep the 301s for at least 12 months. Never redirect to the homepage or to a noindex page; never answer 404 or 410 for these towns.</t>
  </si>
  <si>
    <t>Remove every redirected URL from sitemap.xml (section C) and from every internal link (section A, last row).</t>
  </si>
  <si>
    <t>Option B: no redirects - build the four mini-pages from the Option B block in tab 6.</t>
  </si>
  <si>
    <t>Hospitals &amp; public buildings</t>
  </si>
  <si>
    <t>Tomo Riba Institute of Health &amp; Medical Sciences at Naharlagun, government complexes and new public buildings</t>
  </si>
  <si>
    <t>Fire-fighting mains and pump rooms, HVAC chilled-water plant</t>
  </si>
  <si>
    <t>C. sitemap.xml - what goes in, what comes out</t>
  </si>
  <si>
    <t>A105 slip-on and weld neck, Class 150, with drilling matched to pumps and valves</t>
  </si>
  <si>
    <t>Action</t>
  </si>
  <si>
    <t>When</t>
  </si>
  <si>
    <t>lastmod rule</t>
  </si>
  <si>
    <t>Hydropower auxiliaries</t>
  </si>
  <si>
    <t>Pare and Ranganadi hydro stations (NEEPCO) near Doimukh, and larger projects elsewhere in the state</t>
  </si>
  <si>
    <t>Cooling water, drainage and dewatering, compressed air, oil systems</t>
  </si>
  <si>
    <t>A105 weld neck and blind flanges, Class 150-600; 316L for oil and instrument lines</t>
  </si>
  <si>
    <t>The day the page goes live</t>
  </si>
  <si>
    <t>Date the page content last changed (YYYY-MM-DD) - never the build date</t>
  </si>
  <si>
    <t>Roads &amp; construction</t>
  </si>
  <si>
    <t>Highway, bridge and building works around the capital</t>
  </si>
  <si>
    <t>Dewatering, compressed air, temporary water lines</t>
  </si>
  <si>
    <t>Carbon-steel slip-on and blind flanges, Class 150</t>
  </si>
  <si>
    <t>Hydropower auxiliary systems</t>
  </si>
  <si>
    <t>https://remaxforge.com/naharlagun/  (and /naharlagun)</t>
  </si>
  <si>
    <t>Headers: Flange type | Typical use in Itanagar &amp; Naharlagun (link column D to the URL in column E)</t>
  </si>
  <si>
    <t>With the 301 (section B)</t>
  </si>
  <si>
    <t>A URL that redirects must never sit in the sitemap.</t>
  </si>
  <si>
    <t>https://remaxforge.com/pasighat/  (and /pasighat)</t>
  </si>
  <si>
    <t>Water-supply and building fire mains</t>
  </si>
  <si>
    <t>https://remaxforge.com/tawang/  (and /tawang)</t>
  </si>
  <si>
    <t>Scheme end closures and future connections</t>
  </si>
  <si>
    <t>https://remaxforge.com/ziro/  (and /ziro)</t>
  </si>
  <si>
    <t>Isolation on hydro auxiliary lines during maintenance</t>
  </si>
  <si>
    <t>https://remaxforge.com/thank-you/</t>
  </si>
  <si>
    <t>Exclude</t>
  </si>
  <si>
    <t>Always</t>
  </si>
  <si>
    <t>noindex, follow (tab 10).</t>
  </si>
  <si>
    <t>Daily log T0-a / A-63: the sitemap generator omits /products/ and freezes lastmod. Fix the generator and add the CI guard (T0-c) in the same deploy, or these pages can drop out of the sitemap the way the product estate did.</t>
  </si>
  <si>
    <t>D. Request indexing - Search Console &gt; URL Inspection &gt; Request indexing (after the product-page queue in the daily log)</t>
  </si>
  <si>
    <t>Order</t>
  </si>
  <si>
    <t>Small-bore plant-room lines</t>
  </si>
  <si>
    <t>Ready?</t>
  </si>
  <si>
    <t>Date requested</t>
  </si>
  <si>
    <t>Re-check on</t>
  </si>
  <si>
    <t>Small low-pressure water branches</t>
  </si>
  <si>
    <t>Not requested</t>
  </si>
  <si>
    <t>13. Media plan - one factory shoot (15 photos) and 5 short videos cover all 9 pages</t>
  </si>
  <si>
    <t>Stainless lines in hospital plant rooms</t>
  </si>
  <si>
    <t>Shoot once at the Mumbai unit; each page reuses 2-3 photos with its own caption. Rows marked [CONFIRM] are shot only if that capability is confirmed in tab 15.</t>
  </si>
  <si>
    <t>A. Shot list</t>
  </si>
  <si>
    <t>ID</t>
  </si>
  <si>
    <t>Shot</t>
  </si>
  <si>
    <t>Direction</t>
  </si>
  <si>
    <t>Must NOT appear</t>
  </si>
  <si>
    <t>Alt text (draft)</t>
  </si>
  <si>
    <t>File name</t>
  </si>
  <si>
    <t>Needs confirmation</t>
  </si>
  <si>
    <t>Used on</t>
  </si>
  <si>
    <t>P01</t>
  </si>
  <si>
    <t>Unit exterior / entrance</t>
  </si>
  <si>
    <t>First: it links to all five AP city pages, so one indexed hub opens the rest.</t>
  </si>
  <si>
    <t>Wide daylight shot of the entrance and name board; straighten verticals; no vehicles in front.</t>
  </si>
  <si>
    <t>Phone numbers or WhatsApp on the signboard (crop or retouch), number plates, neighbours' signs</t>
  </si>
  <si>
    <t>Entrance of the Remax Forge &amp; Fittings manufacturing unit in Mumbai</t>
  </si>
  <si>
    <t>remax-forge-mumbai-unit.webp</t>
  </si>
  <si>
    <t>To shoot</t>
  </si>
  <si>
    <t>Only contested SERP; biggest demand base.</t>
  </si>
  <si>
    <t>P02</t>
  </si>
  <si>
    <t>Raw material with heat numbers</t>
  </si>
  <si>
    <t>Billets or bars in the rack with heat numbers legible; one close-up of a stamped heat number beside its mill certificate.</t>
  </si>
  <si>
    <t>Supplier names and prices on documents</t>
  </si>
  <si>
    <t>Steel billets with stamped heat numbers ready for flange forging</t>
  </si>
  <si>
    <t>flange-billets-heat-numbers.webp</t>
  </si>
  <si>
    <t>/manufacturing/ page (when built)</t>
  </si>
  <si>
    <t>P03</t>
  </si>
  <si>
    <t>Forging</t>
  </si>
  <si>
    <t>Glowing billet under the press or hammer; operator in full PPE; fast shutter (1/500 s or quicker).</t>
  </si>
  <si>
    <t>Anyone without PPE; faces without written consent</t>
  </si>
  <si>
    <t>Hot forging of a steel flange blank under a press</t>
  </si>
  <si>
    <t>flange-forging-press.webp</t>
  </si>
  <si>
    <t>Visakhapatnam, Andhra Pradesh hub</t>
  </si>
  <si>
    <t>P04</t>
  </si>
  <si>
    <t>Sample MTC (redacted)</t>
  </si>
  <si>
    <t>A real material test certificate, flat and evenly lit.</t>
  </si>
  <si>
    <t>Customer name, order number, prices - redact before shooting</t>
  </si>
  <si>
    <t>Material test certificate for a forged flange showing heat number and test results</t>
  </si>
  <si>
    <t>flange-mtc-sample-redacted.webp</t>
  </si>
  <si>
    <t>/manufacturing/ page; gated-chart landing (tab 10 Form C)</t>
  </si>
  <si>
    <t>P05</t>
  </si>
  <si>
    <t>CNC turning</t>
  </si>
  <si>
    <t>Flange face or bore being turned; chips visible; tight crop on the tool.</t>
  </si>
  <si>
    <t>Machine-maker logos as the subject</t>
  </si>
  <si>
    <t>CNC lathe turning the face of a forged flange</t>
  </si>
  <si>
    <t>flange-cnc-turning.webp</t>
  </si>
  <si>
    <t>P06</t>
  </si>
  <si>
    <t>Drilling</t>
  </si>
  <si>
    <t>Bolt holes being drilled; a finished drilled flange beside the machine.</t>
  </si>
  <si>
    <t>Drilling bolt holes in a flange to the specified pattern</t>
  </si>
  <si>
    <t>flange-bolt-hole-drilling.webp</t>
  </si>
  <si>
    <t>Vijayawada, Kurnool</t>
  </si>
  <si>
    <t>P07</t>
  </si>
  <si>
    <t>RTJ groove</t>
  </si>
  <si>
    <t>Close-up of a machined ring-type-joint groove with the ring gasket beside it.</t>
  </si>
  <si>
    <t>Machined ring-type joint groove on a weld neck flange</t>
  </si>
  <si>
    <t>rtj-flange-groove.webp</t>
  </si>
  <si>
    <t>[CONFIRM] RTJ machined in-house (tab 15 I-19)</t>
  </si>
  <si>
    <t>Visakhapatnam, Nellore</t>
  </si>
  <si>
    <t>P08</t>
  </si>
  <si>
    <t>Heat-treatment furnace</t>
  </si>
  <si>
    <t>Furnace door open with a charge of flanges, or the temperature chart recorder.</t>
  </si>
  <si>
    <t>Forged flanges loaded in a heat-treatment furnace</t>
  </si>
  <si>
    <t>flange-heat-treatment-furnace.webp</t>
  </si>
  <si>
    <t>[CONFIRM] in-house furnace (tab 15 I-24)</t>
  </si>
  <si>
    <t>P09</t>
  </si>
  <si>
    <t>PMI / hardness testing</t>
  </si>
  <si>
    <t>Inspector testing a flange with a PMI analyser or hardness tester, reading visible.</t>
  </si>
  <si>
    <t>Hardness test on a forged flange before dispatch</t>
  </si>
  <si>
    <t>flange-hardness-pmi-test.webp</t>
  </si>
  <si>
    <t>[CONFIRM] tests done in-house (tab 15 I-25)</t>
  </si>
  <si>
    <t>P10</t>
  </si>
  <si>
    <t>Dimensional inspection</t>
  </si>
  <si>
    <t>Vernier or tape on the bolt circle or OD, drawing on the bench.</t>
  </si>
  <si>
    <t>Customer title blocks on drawings</t>
  </si>
  <si>
    <t>Dimensional inspection of a flange bolt circle with a vernier caliper</t>
  </si>
  <si>
    <t>flange-dimensional-inspection.webp</t>
  </si>
  <si>
    <t>P11</t>
  </si>
  <si>
    <t>Marking</t>
  </si>
  <si>
    <t>Hard-stamping or laser-marking grade, class, size and heat number; crisp close-up.</t>
  </si>
  <si>
    <t>Flange stamped with grade, class, size and heat number</t>
  </si>
  <si>
    <t>flange-heat-number-marking.webp</t>
  </si>
  <si>
    <t>Index page; linked from the footer.</t>
  </si>
  <si>
    <t>Guntur, Itanagar &amp; Naharlagun, Andhra Pradesh hub</t>
  </si>
  <si>
    <t>P12</t>
  </si>
  <si>
    <t>Large-diameter / plate flange</t>
  </si>
  <si>
    <t>The largest flange you make, with a person in PPE for scale.</t>
  </si>
  <si>
    <t>Large-diameter plate flange for a water pipeline</t>
  </si>
  <si>
    <t>large-diameter-plate-flange.webp</t>
  </si>
  <si>
    <t>[CONFIRM] maximum size (tab 15 I-14)</t>
  </si>
  <si>
    <t>P13</t>
  </si>
  <si>
    <t>Packing</t>
  </si>
  <si>
    <t>Flanges oiled, faces protected, crated or palletised and strapped; heat-number label visible.</t>
  </si>
  <si>
    <t>Customer names on labels</t>
  </si>
  <si>
    <t>Flanges packed and strapped on a pallet for road transport</t>
  </si>
  <si>
    <t>flange-packing-for-dispatch.webp</t>
  </si>
  <si>
    <t>Kurnool, Itanagar &amp; Naharlagun, Arunachal Pradesh hub</t>
  </si>
  <si>
    <t>P14</t>
  </si>
  <si>
    <t>Truck loading</t>
  </si>
  <si>
    <t>Loading a consignment at the unit.</t>
  </si>
  <si>
    <t>Number plates and any phone number painted on the truck (blur), transporter branding</t>
  </si>
  <si>
    <t>Consignment of flanges being loaded onto a truck</t>
  </si>
  <si>
    <t>flange-dispatch-truck-loading.webp</t>
  </si>
  <si>
    <t>Itanagar &amp; Naharlagun, Arunachal Pradesh hub</t>
  </si>
  <si>
    <t>P15</t>
  </si>
  <si>
    <t>CEO portrait</t>
  </si>
  <si>
    <t>Vikas Purohit on the shop floor or at his desk; natural light; head-and-shoulders and half-length versions.</t>
  </si>
  <si>
    <t>After the Arunachal hub and the 301s are live.</t>
  </si>
  <si>
    <t>Vikas Purohit, CEO of Remax Forge &amp; Fittings</t>
  </si>
  <si>
    <t>vikas-purohit-ceo.webp</t>
  </si>
  <si>
    <t>Upload, then put its URL in tab 15 I-32</t>
  </si>
  <si>
    <t>Requesting is a nudge, not a fix: ~10 requests a day, only for pages that are live, READY, in the sitemap and linked from an indexed page. The 53 flange product pages in the daily log's queue go first - they are the bigger lead lever (A-64).</t>
  </si>
  <si>
    <t>About page; Person schema image (tab 11)</t>
  </si>
  <si>
    <t>E. Canonical, robots and duplicate rules</t>
  </si>
  <si>
    <t>Rule</t>
  </si>
  <si>
    <t>Test</t>
  </si>
  <si>
    <t>Canonical</t>
  </si>
  <si>
    <t>One &lt;link rel="canonical"&gt; per page: absolute, https, no www, slash form, self-referencing.</t>
  </si>
  <si>
    <t>B. Photos per page, with captions (edit a caption if the final photo shows something different)</t>
  </si>
  <si>
    <t>curl -s https://remaxforge.com/visakhapatnam/ | grep -io '&lt;link[^&gt;]*canonical[^&gt;]*&gt;'   -&gt; exactly one, href=https://remaxforge.com/visakhapatnam/</t>
  </si>
  <si>
    <t>Photo</t>
  </si>
  <si>
    <t>Caption (draft)</t>
  </si>
  <si>
    <t>Video</t>
  </si>
  <si>
    <t>No-slash duplicates</t>
  </si>
  <si>
    <t>The no-slash URL must redirect (C-01). A 200 plus a canonical - today's behaviour (daily log A-48) - is not enough: Google keeps choosing the linked form.</t>
  </si>
  <si>
    <t>Section B row 'Every page URL without the trailing slash'</t>
  </si>
  <si>
    <t>Forging a flange blank at our Mumbai unit - the billet's heat number stays with it all the way to your site in Visakhapatnam.</t>
  </si>
  <si>
    <t>After the local-demand table</t>
  </si>
  <si>
    <t>index, follow on all 9 pages (or no tag). /thank-you/ = noindex, follow.</t>
  </si>
  <si>
    <t>curl -s https://remaxforge.com/thank-you/ | grep -io 'noindex'   -&gt; match</t>
  </si>
  <si>
    <t>robots.txt</t>
  </si>
  <si>
    <t>Must not block /market-area/ or any city URL; must answer 200 (or 404) fast. Decide deliberately which AI crawlers to allow (C-00).</t>
  </si>
  <si>
    <t>curl -s -o /dev/null -w "%{http_code} %{time_total}s\n" https://remaxforge.com/robots.txt</t>
  </si>
  <si>
    <t>Old town URLs (Option A)</t>
  </si>
  <si>
    <t>Answer 301 to the target - not 200, 404 or 410.</t>
  </si>
  <si>
    <t>Section B tests</t>
  </si>
  <si>
    <t>Language</t>
  </si>
  <si>
    <t>One language (en-IN): no hreflang needed. Keep &lt;html lang="en-IN"&gt;.</t>
  </si>
  <si>
    <t>Machining an RTJ groove - ring-type joints are the norm on high-pressure refinery lines. [CONFIRM]</t>
  </si>
  <si>
    <t>Manufacturing &amp; QA section</t>
  </si>
  <si>
    <t>View source</t>
  </si>
  <si>
    <t>Parameters</t>
  </si>
  <si>
    <t>?form=, ?city= and utm_ URLs are never linked internally; the canonical handles stray copies.</t>
  </si>
  <si>
    <t>Site search in GSC: none indexed</t>
  </si>
  <si>
    <t>Hardness and PMI checks before dispatch - the records behind a NACE MR0103 order. [CONFIRM]</t>
  </si>
  <si>
    <t>Delivery or product-range section</t>
  </si>
  <si>
    <t>CNC turning of a flange face and bore at our Mumbai unit.</t>
  </si>
  <si>
    <t>Drilling to the specified pattern - ASME Class 150 and EN PN16 patterns differ, so we drill to the standard of the valve or pump you are mating to.</t>
  </si>
  <si>
    <t>A large-diameter flange for water and pumping-station work. [CONFIRM maximum size]</t>
  </si>
  <si>
    <t>Our manufacturing unit in Mumbai, which supplies Guntur directly.</t>
  </si>
  <si>
    <t>Heat treatment where the specification requires it - A350 LF2 low-temperature flanges for ammonia refrigeration, for example. [CONFIRM]</t>
  </si>
  <si>
    <t>Every flange is stamped with grade, class, size and heat number, so the certificate traces to the part.</t>
  </si>
  <si>
    <t>RTJ groove machining for high-pressure project lines. [CONFIRM]</t>
  </si>
  <si>
    <t>Hardness testing - the evidence a sour-service (NACE MR0103) order needs. [CONFIRM]</t>
  </si>
  <si>
    <t>Dimensional inspection against the governing standard - the same check an EPC's third-party inspector repeats.</t>
  </si>
  <si>
    <t>A large-diameter flange for lift-irrigation and pumped-storage water lines. [CONFIRM maximum size]</t>
  </si>
  <si>
    <t>Drilling to AWWA C207, EN 1092-1 or IS 6392 as your tender requires. [CONFIRM]</t>
  </si>
  <si>
    <t>WebPage + BreadcrumbList + Service (areaServed, ServiceChannel → #rfq) + FAQPage.</t>
  </si>
  <si>
    <t>Large flanges packed and strapped for the road journey to Kurnool.</t>
  </si>
  <si>
    <t>Packed for a long road journey - faces protected and loads strapped for the run to Arunachal Pradesh.</t>
  </si>
  <si>
    <t>Loading a consignment at our Mumbai unit.</t>
  </si>
  <si>
    <t>Heat-number marking links every flange to the certificate that travels with it to Itanagar.</t>
  </si>
  <si>
    <t>Forging at our Mumbai unit, which supplies project sites across Andhra Pradesh.</t>
  </si>
  <si>
    <t>Grade, class, size and heat number stamped on every flange.</t>
  </si>
  <si>
    <t>Loading a consignment for the road journey to Arunachal Pradesh.</t>
  </si>
  <si>
    <t>Faces protected and loads strapped for long mountain routes.</t>
  </si>
  <si>
    <t>C. Videos (V1-V5) - each under 90 seconds, captioned, with a transcript on the page</t>
  </si>
  <si>
    <t>Title</t>
  </si>
  <si>
    <t>Shot sequence</t>
  </si>
  <si>
    <t>Length</t>
  </si>
  <si>
    <t>Pages</t>
  </si>
  <si>
    <t>Transcript</t>
  </si>
  <si>
    <t>From billet to finished flange</t>
  </si>
  <si>
    <t>Heat-number check on the billet &gt; cutting &gt; forging &gt; heat treatment (only if done in-house) &gt; CNC turning &gt; drilling &gt; marking &gt; final inspection. On-screen captions name each step; no voice-over needed.</t>
  </si>
  <si>
    <t>60-90 s</t>
  </si>
  <si>
    <t>Visakhapatnam, Andhra Pradesh hub, Guntur (reuse)</t>
  </si>
  <si>
    <t>Heat-treatment step only if confirmed (I-24)</t>
  </si>
  <si>
    <t>Write after the edit; paste under the player in a &lt;details&gt; block</t>
  </si>
  <si>
    <t>Class 150 vs PN16: why they don't bolt together</t>
  </si>
  <si>
    <t>Place a 4-inch Class 150 flange next to a DN100 PN16 flange, measure both bolt circles on camera (190.5 mm vs 180 mm - tab 14), try to line them up, then show the fix: drill to the mating standard.</t>
  </si>
  <si>
    <t>45-60 s</t>
  </si>
  <si>
    <t>Needs one flange of each standard</t>
  </si>
  <si>
    <t>RTJ groove and hardness check</t>
  </si>
  <si>
    <t>Machining and gauging an RTJ groove, then a hardness test with the reading on screen.</t>
  </si>
  <si>
    <t>[CONFIRM] RTJ and hardness testing in-house (I-19, I-25)</t>
  </si>
  <si>
    <t>Machining a large-diameter flange</t>
  </si>
  <si>
    <t>Loading, facing and drilling the largest flange you make; a person in shot for scale.</t>
  </si>
  <si>
    <t>45-75 s</t>
  </si>
  <si>
    <t>[CONFIRM] maximum size (I-14)</t>
  </si>
  <si>
    <t>Packing and dispatch for long road journeys</t>
  </si>
  <si>
    <t>Oiling, face protection, crating or palletising, heat-number labels, loading (number plates blurred).</t>
  </si>
  <si>
    <t>Itanagar &amp; Naharlagun, Arunachal hub</t>
  </si>
  <si>
    <t>D. Image and video specs</t>
  </si>
  <si>
    <t>Format</t>
  </si>
  <si>
    <t>WebP at quality 75-82 (keep the original JPEG offline).</t>
  </si>
  <si>
    <t>Sizes</t>
  </si>
  <si>
    <t>Hero 1600 x 900 with srcset 800/1200/1600w; in-content 1200 x 800 with srcset 600/1200w. Aim for &lt;= 200 KB hero, &lt;= 120 KB in-content.</t>
  </si>
  <si>
    <t>HTML</t>
  </si>
  <si>
    <t>width and height on every &lt;img&gt;; loading="lazy" below the fold; the hero image gets fetchpriority="high" and is never lazy-loaded.</t>
  </si>
  <si>
    <t>Metadata</t>
  </si>
  <si>
    <t>Strip EXIF before upload - it carries GPS location and camera data.</t>
  </si>
  <si>
    <t>File names</t>
  </si>
  <si>
    <t>Lowercase, hyphenated, descriptive (column F). No 'IMG_1234'.</t>
  </si>
  <si>
    <t>Alt text</t>
  </si>
  <si>
    <t>Describe what the image shows, &lt;= 125 characters, no keyword stuffing. Local context goes in the caption, not the alt text.</t>
  </si>
  <si>
    <t>Honesty</t>
  </si>
  <si>
    <t>Every photo is of the Mumbai unit - captions say so. Never imply a photo was taken in the buyer's city; never use stock photos of other factories.</t>
  </si>
  <si>
    <t>Standing rule</t>
  </si>
  <si>
    <t>14. Reference data for writers - verified facts to teach from (and the errors not to copy)</t>
  </si>
  <si>
    <t>No phone number or WhatsApp sticker visible anywhere - signboards, trucks, packing labels, letterheads, video frames, end screens.</t>
  </si>
  <si>
    <t>Values from the governing standards as commonly published; verify each against the current edition the client holds before a number goes live. Paraphrase - ASME, ASTM and EN texts are copyrighted, so never paste their tables.</t>
  </si>
  <si>
    <t>A. Pressure-temperature ratings - ASME B16.5, Material Group 1.1 (e.g. A105), at -29 °C to 38 °C</t>
  </si>
  <si>
    <t>People</t>
  </si>
  <si>
    <t>Written consent from anyone identifiable; PPE in every shop-floor shot (buyers notice).</t>
  </si>
  <si>
    <t>Class</t>
  </si>
  <si>
    <t>Max working pressure (bar g)</t>
  </si>
  <si>
    <t>Max working pressure (psig)</t>
  </si>
  <si>
    <t>Check: bar x 14.504</t>
  </si>
  <si>
    <t>Consistent?</t>
  </si>
  <si>
    <t>Host on the company YouTube channel or self-host MP4. Embed behind a click-to-load facade (thumbnail + play button; no player script until clicked). Put the transcript in the HTML. No phone or WhatsApp in the description or end screen - end on 'Get a written quote'.</t>
  </si>
  <si>
    <t>Class 150</t>
  </si>
  <si>
    <t>E. VideoObject JSON-LD template - one per video, in a separate &lt;script type="application/ld+json"&gt; on each page that embeds it</t>
  </si>
  <si>
    <t>{"@context":"https://schema.org","@type":"VideoObject","name":"{video title}","description":"{one-sentence description}","thumbnailUrl":"https://remaxforge.com/images/{video-id}-thumb.webp","uploadDate":"{YYYY-MM-DD}","duration":"PT{m}M{s}S","embedUrl":"{https://www.youtube.com/embed/ID - or contentUrl for a self-hosted .mp4}","publisher":{"@id":"https://remaxforge.com/#organization"}}</t>
  </si>
  <si>
    <t>Replace every {curly} field; drop embedUrl or contentUrl, whichever does not apply. Validate in the Rich Results Test. Same rule as tab 11: no telephone property.</t>
  </si>
  <si>
    <t>Class 300</t>
  </si>
  <si>
    <t>Class 400</t>
  </si>
  <si>
    <t>Class 600</t>
  </si>
  <si>
    <t>Class 900</t>
  </si>
  <si>
    <t>Class 1500</t>
  </si>
  <si>
    <t>Class 2500</t>
  </si>
  <si>
    <t>Ratings fall as temperature rises - quote the full rating table for design questions, never this ambient row alone.</t>
  </si>
  <si>
    <t>B. Minimum mechanical properties (ASTM A105, A350, A182)</t>
  </si>
  <si>
    <t>Grade</t>
  </si>
  <si>
    <t>What it is</t>
  </si>
  <si>
    <t>Tensile min (MPa)</t>
  </si>
  <si>
    <t>Yield min (MPa)</t>
  </si>
  <si>
    <t>Tensile (ksi)</t>
  </si>
  <si>
    <t>Yield (ksi)</t>
  </si>
  <si>
    <t>Elongation min (%)</t>
  </si>
  <si>
    <t>Other</t>
  </si>
  <si>
    <t>ASTM A105</t>
  </si>
  <si>
    <t>Carbon steel forgings for piping components</t>
  </si>
  <si>
    <t>Hardness 137-187 HBW</t>
  </si>
  <si>
    <t>ASTM A350 LF2 Class 1</t>
  </si>
  <si>
    <t>Low-temperature carbon steel (impact-tested)</t>
  </si>
  <si>
    <t>15. Client inputs - the only facts this plan cannot supply. Yellow cells = fill in.</t>
  </si>
  <si>
    <t>Leave a cell blank if unsure - never guess. Every [CLIENT ...] / [CONFIRM] marker in tabs 8, 8b and 9 maps to a row here. Row 7 is a worked example of the expected format.</t>
  </si>
  <si>
    <t>Inputs still missing</t>
  </si>
  <si>
    <t>Tensile 485-655 MPa; Charpy test at -46 °C (Class 2: -18 °C)</t>
  </si>
  <si>
    <t>ASTM A182 F304</t>
  </si>
  <si>
    <t>Austenitic stainless</t>
  </si>
  <si>
    <t>RA 50%</t>
  </si>
  <si>
    <t>Missing AND blocking publish</t>
  </si>
  <si>
    <t>ASTM A182 F304L</t>
  </si>
  <si>
    <t>Austenitic stainless, low carbon</t>
  </si>
  <si>
    <t>ASTM A182 F316</t>
  </si>
  <si>
    <t>Austenitic stainless, Mo</t>
  </si>
  <si>
    <t>Input needed</t>
  </si>
  <si>
    <t>Used in</t>
  </si>
  <si>
    <t>Replaces placeholder</t>
  </si>
  <si>
    <t>Format / example</t>
  </si>
  <si>
    <t>CLIENT ANSWER</t>
  </si>
  <si>
    <t>Blocks publish?</t>
  </si>
  <si>
    <t>I-00</t>
  </si>
  <si>
    <t>ASTM A182 F316L</t>
  </si>
  <si>
    <t>Austenitic stainless, Mo, low carbon</t>
  </si>
  <si>
    <t>EXAMPLE - Reply time promised on the site</t>
  </si>
  <si>
    <t>Hero, final CTA, FAQs</t>
  </si>
  <si>
    <t>[CLIENT: reply time ...]</t>
  </si>
  <si>
    <t>within one working day</t>
  </si>
  <si>
    <t>Example</t>
  </si>
  <si>
    <t>I-01</t>
  </si>
  <si>
    <t>Reply time you will promise on every page</t>
  </si>
  <si>
    <t>ASTM A182 F11 Class 2</t>
  </si>
  <si>
    <t>Hero, final CTA, FAQs, autoresponder (all pages)</t>
  </si>
  <si>
    <t>1.25Cr-0.5Mo</t>
  </si>
  <si>
    <t>RA 30%</t>
  </si>
  <si>
    <t>ASTM A182 F22 Class 3</t>
  </si>
  <si>
    <t>2.25Cr-1Mo</t>
  </si>
  <si>
    <t>I-02</t>
  </si>
  <si>
    <t>Transit days Mumbai → Visakhapatnam / Anakapalli (after dispatch)</t>
  </si>
  <si>
    <t>Vizag delivery section + FAQ</t>
  </si>
  <si>
    <t>[CLIENT: X-Y days]</t>
  </si>
  <si>
    <t>5-7 days</t>
  </si>
  <si>
    <t>I-03</t>
  </si>
  <si>
    <t>Transit days → Vijayawada / Amaravati</t>
  </si>
  <si>
    <t>Vijayawada delivery + FAQ</t>
  </si>
  <si>
    <t>4-6 days</t>
  </si>
  <si>
    <t>I-04</t>
  </si>
  <si>
    <t>Transit days → Guntur</t>
  </si>
  <si>
    <t>Guntur delivery section</t>
  </si>
  <si>
    <t>ASTM A182 F91</t>
  </si>
  <si>
    <t>I-05</t>
  </si>
  <si>
    <t>9Cr-1Mo-V</t>
  </si>
  <si>
    <t>Transit days → Nellore / Krishnapatnam / Ramayapatnam</t>
  </si>
  <si>
    <t>Nellore delivery section</t>
  </si>
  <si>
    <t>I-06</t>
  </si>
  <si>
    <t>Transit days → Kurnool / Nandyal</t>
  </si>
  <si>
    <t>Kurnool delivery + FAQ</t>
  </si>
  <si>
    <t>3-5 days</t>
  </si>
  <si>
    <t>I-07</t>
  </si>
  <si>
    <t>Transit days → Itanagar / Naharlagun (and Tawang, Ziro, Pasighat if different)</t>
  </si>
  <si>
    <t>Itanagar page + Arunachal hub</t>
  </si>
  <si>
    <t>10-14 days to Itanagar; Tawang +3-5 days</t>
  </si>
  <si>
    <t>ASTM A182 F51 (UNS S31803)</t>
  </si>
  <si>
    <t>I-08</t>
  </si>
  <si>
    <t>Duplex stainless</t>
  </si>
  <si>
    <t>Dispatch mode, transporter and route (part-load / full truck; route to Arunachal)</t>
  </si>
  <si>
    <t>Delivery sections, Arunachal hub</t>
  </si>
  <si>
    <t>[CLIENT: part-load or full-truck; transporter] / [CLIENT: route]</t>
  </si>
  <si>
    <t>Part-load via transporter; full truck above 5 t; Arunachal via Guwahati</t>
  </si>
  <si>
    <t>I-09</t>
  </si>
  <si>
    <t>Factory locality in Mumbai (as shown on the site)</t>
  </si>
  <si>
    <t>Trust strip; FAQ 1 on every city page</t>
  </si>
  <si>
    <t>[CLIENT: locality] / [CLIENT: confirm]</t>
  </si>
  <si>
    <t>Andheri East, Mumbai</t>
  </si>
  <si>
    <t>I-10</t>
  </si>
  <si>
    <t>Street address (building, road, area) - used in Organization schema only</t>
  </si>
  <si>
    <t>Tab 11 sitewide JSON-LD</t>
  </si>
  <si>
    <t>Unit 12, Example Industrial Estate, Example Road</t>
  </si>
  <si>
    <t>I-11</t>
  </si>
  <si>
    <t>PIN code of the factory</t>
  </si>
  <si>
    <t>400093</t>
  </si>
  <si>
    <t>I-12</t>
  </si>
  <si>
    <t>Certifications you actually hold (name, certificate no., issuer, valid until). Write 'None' if none.</t>
  </si>
  <si>
    <t>Trust strip, FAQs</t>
  </si>
  <si>
    <t>[CLIENT: real certifications only ...]</t>
  </si>
  <si>
    <t>Sanity rule the Sagar page breaks: yield (column D) is always lower than tensile (column C) - a red cell means a typo. F11 and F22 properties depend on the Class (1, 2 or 3): always state the Class.</t>
  </si>
  <si>
    <t>ISO 9001:2015, cert no. XXXX, issued by ABC, valid to 03/2028</t>
  </si>
  <si>
    <t>I-13</t>
  </si>
  <si>
    <t>Which flange types are made in-house (and which are bought out)</t>
  </si>
  <si>
    <t>C. Why Class 150 and PN16 flanges do not bolt together (used on the Vijayawada page and video V2)</t>
  </si>
  <si>
    <t>Range intro on all city pages</t>
  </si>
  <si>
    <t>[CLIENT: confirm which types are made in-house]</t>
  </si>
  <si>
    <t>WN, SO, BL, SW, TH in-house; spectacle blinds bought out</t>
  </si>
  <si>
    <t>I-14</t>
  </si>
  <si>
    <t>Nominal size</t>
  </si>
  <si>
    <t>Size range per type, and maximum diameter for large-bore / plate flanges</t>
  </si>
  <si>
    <t>Vijayawada FAQ 2, Kurnool pages</t>
  </si>
  <si>
    <t>Standard</t>
  </si>
  <si>
    <t>[CLIENT: confirm maximum size]</t>
  </si>
  <si>
    <t>Flange OD (mm)</t>
  </si>
  <si>
    <t>1/2"-24" forged; plate flanges up to 2,000 mm OD</t>
  </si>
  <si>
    <t>Bolt circle (mm)</t>
  </si>
  <si>
    <t>Holes (no. x dia. mm)</t>
  </si>
  <si>
    <t>Bolts</t>
  </si>
  <si>
    <t>I-15</t>
  </si>
  <si>
    <t>Bolt-circle difference (mm)</t>
  </si>
  <si>
    <t>Grades made regularly (A105, A350 LF2, F304/L, F316/L, F11, F22, F91, F51/F53/F55, others)</t>
  </si>
  <si>
    <t>Bolt together?</t>
  </si>
  <si>
    <t>Range intro, materials sections, Nellore FAQ 6</t>
  </si>
  <si>
    <t>NPS 2 / DN50</t>
  </si>
  <si>
    <t>[CONFIRM] markers on grades</t>
  </si>
  <si>
    <t>ASME B16.5 Class 150</t>
  </si>
  <si>
    <t>A105, LF2, F304L, F316L, F11, F22; duplex on request</t>
  </si>
  <si>
    <t>4 x 19.1</t>
  </si>
  <si>
    <t>5/8 in</t>
  </si>
  <si>
    <t>I-16</t>
  </si>
  <si>
    <t>Sizes / grades held in ready stock</t>
  </si>
  <si>
    <t>Guntur range intro</t>
  </si>
  <si>
    <t>[CLIENT: confirm stocked sizes]</t>
  </si>
  <si>
    <t>EN 1092-1 PN16</t>
  </si>
  <si>
    <t>A105 SO/WN 1/2"-8" Class 150/300</t>
  </si>
  <si>
    <t>4 x 18</t>
  </si>
  <si>
    <t>M16</t>
  </si>
  <si>
    <t>I-17</t>
  </si>
  <si>
    <t>NACE MR0175 / MR0103 supply: yes/no, and how compliance is shown</t>
  </si>
  <si>
    <t>Vizag + Nellore FAQs, materials sections</t>
  </si>
  <si>
    <t>[CONFIRM]</t>
  </si>
  <si>
    <t>Yes - hardness-tested, certificate states MR0103</t>
  </si>
  <si>
    <t>I-18</t>
  </si>
  <si>
    <t>IBR-certified material and documents: yes/no</t>
  </si>
  <si>
    <t>Guntur materials section</t>
  </si>
  <si>
    <t>[CLIENT: confirm IBR capability ...]</t>
  </si>
  <si>
    <t>I-19</t>
  </si>
  <si>
    <t>RTJ groove machining: yes/no, up to which class</t>
  </si>
  <si>
    <t>Nellore FAQ 4, photo P07, video V3</t>
  </si>
  <si>
    <t>Yes, up to Class 1500</t>
  </si>
  <si>
    <t>I-20</t>
  </si>
  <si>
    <t>EN 10204 3.1 / 3.2 certificates and third-party inspection accepted (which agencies)</t>
  </si>
  <si>
    <t>Vizag, Nellore FAQs; manufacturing module</t>
  </si>
  <si>
    <t>3.1 standard; 3.2 via TPI (e.g. agency names)</t>
  </si>
  <si>
    <t>I-21</t>
  </si>
  <si>
    <t>Oxygen-service cleaning offered: yes/no</t>
  </si>
  <si>
    <t>Vizag materials section</t>
  </si>
  <si>
    <t>[CONFIRM offered]</t>
  </si>
  <si>
    <t>I-22</t>
  </si>
  <si>
    <t>Coating / galvanising options for coastal delivery</t>
  </si>
  <si>
    <t>[CLIENT: confirm coating options]</t>
  </si>
  <si>
    <t>Rust-preventive oil standard; primer on request</t>
  </si>
  <si>
    <t>I-23</t>
  </si>
  <si>
    <t>Drilling standards offered (ASME B16.5, B16.47, EN 1092-1, IS 6392, AWWA C207, BS, DIN, custom)</t>
  </si>
  <si>
    <t>Vijayawada materials section, Kurnool FAQs</t>
  </si>
  <si>
    <t>[CLIENT: confirm IS 6392 / BS / DIN capability]</t>
  </si>
  <si>
    <t>ASME, EN 1092-1, IS 6392, to drawing</t>
  </si>
  <si>
    <t>NPS 4 / DN100</t>
  </si>
  <si>
    <t>I-24</t>
  </si>
  <si>
    <t>Machine list (forging press / hammer tonnage, CNC lathes - count and max swing, drilling / VMC, heat-treatment furnace)</t>
  </si>
  <si>
    <t>Manufacturing module, /manufacturing/ page, photos</t>
  </si>
  <si>
    <t>8 x 19.1</t>
  </si>
  <si>
    <t>1 x 1,000 t press; 4 CNC lathes up to 600 mm; 1 VMC</t>
  </si>
  <si>
    <t>I-25</t>
  </si>
  <si>
    <t>Tests done in-house (PMI, UT, hardness, impact, tensile ...) - only what you actually do</t>
  </si>
  <si>
    <t>8 x 18</t>
  </si>
  <si>
    <t>Manufacturing module (all pages), photo P09</t>
  </si>
  <si>
    <t>[CLIENT: list only tests actually done in-house ...]</t>
  </si>
  <si>
    <t>PMI, hardness, dimensional</t>
  </si>
  <si>
    <t>I-26</t>
  </si>
  <si>
    <t>Indicative price bands in Rs/kg with the month: A105; SS 304L/316L; F11/F22</t>
  </si>
  <si>
    <t>Price section on every city page</t>
  </si>
  <si>
    <t>[CLIENT: indicative Rs/kg bands ...]</t>
  </si>
  <si>
    <t>A105 Rs 110-140/kg; 316L Rs 520-600/kg (Sep 2026)</t>
  </si>
  <si>
    <t>I-27</t>
  </si>
  <si>
    <t>Minimum order (value or quantity), especially for Arunachal; is freight shown as a separate line?</t>
  </si>
  <si>
    <t>Itanagar FAQ, price sections</t>
  </si>
  <si>
    <t>[CONFIRM] on freight line</t>
  </si>
  <si>
    <t>Rs 25,000 minimum for Arunachal; freight shown separately</t>
  </si>
  <si>
    <t>I-28</t>
  </si>
  <si>
    <t>Payment terms you are happy to publish (optional)</t>
  </si>
  <si>
    <t>Delivery sections (optional line)</t>
  </si>
  <si>
    <t>100% advance for first order; credit after</t>
  </si>
  <si>
    <t>I-29</t>
  </si>
  <si>
    <t>Real past supplies to these regions: customer type, city, year, product - and permission to mention</t>
  </si>
  <si>
    <t>Optional 'Supplied to' block on city pages</t>
  </si>
  <si>
    <t>EPC contractor, Visakhapatnam, 2025, A105 WN 6" Cl 300 (may name: No)</t>
  </si>
  <si>
    <t>I-30</t>
  </si>
  <si>
    <t>Vendor registrations / approvals (only real, with proof)</t>
  </si>
  <si>
    <t>Dimensions: ASME B16.5 Class 150 and EN 1092-1 PN16 tables as commonly published - verify against the current editions before publishing a figure.</t>
  </si>
  <si>
    <t>Vizag FAQ 3, AP hub FAQ 4</t>
  </si>
  <si>
    <t>[CLIENT: list any genuine approvals ...]</t>
  </si>
  <si>
    <t>None yet</t>
  </si>
  <si>
    <t>D. Standards named on the pages</t>
  </si>
  <si>
    <t>I-31</t>
  </si>
  <si>
    <t>CEO bio - 2-3 lines about Vikas Purohit</t>
  </si>
  <si>
    <t>About page, trust strip link</t>
  </si>
  <si>
    <t>Runs Remax Forge &amp; Fittings since 2020; 15 years in forging</t>
  </si>
  <si>
    <t>I-32</t>
  </si>
  <si>
    <t>Scope</t>
  </si>
  <si>
    <t>CEO photo URL (after upload to the site)</t>
  </si>
  <si>
    <t>Key facts for buyers</t>
  </si>
  <si>
    <t>Tab 11 Person schema; photo P15</t>
  </si>
  <si>
    <t>https://remaxforge.com/images/vikas-purohit.webp</t>
  </si>
  <si>
    <t>I-33</t>
  </si>
  <si>
    <t>Logo URL (PNG or SVG, at least 112 x 112 px)</t>
  </si>
  <si>
    <t>Tab 11 Organization schema</t>
  </si>
  <si>
    <t>https://remaxforge.com/images/remax-forge-logo.png</t>
  </si>
  <si>
    <t>ASME B16.5</t>
  </si>
  <si>
    <t>Pipe flanges and flanged fittings, NPS 1/2 through NPS 24</t>
  </si>
  <si>
    <t>Classes 150, 300, 400, 600, 900, 1500, 2500; P-T ratings tabulated from -29 °C</t>
  </si>
  <si>
    <t>I-34</t>
  </si>
  <si>
    <t>Official profiles for sameAs (comma-separated URLs)</t>
  </si>
  <si>
    <t>https://www.linkedin.com/company/example, https://www.youtube.com/@example</t>
  </si>
  <si>
    <t>I-35</t>
  </si>
  <si>
    <t>Sales inbox that receives form leads (never shown on the site)</t>
  </si>
  <si>
    <t>ASME B16.47</t>
  </si>
  <si>
    <t>Tab 10 routing</t>
  </si>
  <si>
    <t>Large-diameter steel flanges, NPS 26 through NPS 60</t>
  </si>
  <si>
    <t>sales@remaxforge.com</t>
  </si>
  <si>
    <t>Series A (Classes 150-900) and Series B (Classes 75-600); not interchangeable</t>
  </si>
  <si>
    <t>I-36</t>
  </si>
  <si>
    <t>Privacy policy URL</t>
  </si>
  <si>
    <t>Tab 10 form notice</t>
  </si>
  <si>
    <t>[CLIENT: privacy policy URL]</t>
  </si>
  <si>
    <t>https://remaxforge.com/privacy-policy/</t>
  </si>
  <si>
    <t>AWWA C207</t>
  </si>
  <si>
    <t>Steel pipe flanges for waterworks service</t>
  </si>
  <si>
    <t>I-37</t>
  </si>
  <si>
    <t>Sizes 4 in. through 144 in.; up to 24 in., Classes B, D and E share ASME Class 150 drilling and Class F shares Class 300 - thinner, rated for waterworks pressures</t>
  </si>
  <si>
    <t>Areas you would NOT deliver to (per city - see each 'Areas served' row in tab 8)</t>
  </si>
  <si>
    <t>Areas sections</t>
  </si>
  <si>
    <t>[CLIENT: delete any area ...]</t>
  </si>
  <si>
    <t>Vizag: none; Kurnool: none</t>
  </si>
  <si>
    <t>I-38</t>
  </si>
  <si>
    <t>Does a /manufacturing/ page exist? URL</t>
  </si>
  <si>
    <t>Manufacturing module link</t>
  </si>
  <si>
    <t>EN 1092-1</t>
  </si>
  <si>
    <t>No - build later</t>
  </si>
  <si>
    <t>Circular steel flanges, PN designated</t>
  </si>
  <si>
    <t>PN 2.5 to PN 400; common water work: PN10 / PN16</t>
  </si>
  <si>
    <t>I-39</t>
  </si>
  <si>
    <t>Live URLs for weld neck, blind, socket weld, threaded and lap joint flange pages</t>
  </si>
  <si>
    <t>Product-range table (tab 8b)</t>
  </si>
  <si>
    <t>[CONFIRM] slug exists</t>
  </si>
  <si>
    <t>/products/flanges/weld-neck-flange/ ...</t>
  </si>
  <si>
    <t>IS 6392</t>
  </si>
  <si>
    <t>Indian Standard for steel pipe flanges</t>
  </si>
  <si>
    <t>I-40</t>
  </si>
  <si>
    <t>Often specified on Indian water and utility tenders</t>
  </si>
  <si>
    <t>Is GTM container GTM-RF2026X real and published? (daily log A-11)</t>
  </si>
  <si>
    <t>Measurement (tab 16 KPIs)</t>
  </si>
  <si>
    <t>Yes - published 12 Aug</t>
  </si>
  <si>
    <t>NACE MR0175 / ISO 15156</t>
  </si>
  <si>
    <t>Materials for H2S-containing environments in oil and gas production</t>
  </si>
  <si>
    <t>Hardness and material limits for sour service</t>
  </si>
  <si>
    <t>NACE MR0103 / ISO 17945</t>
  </si>
  <si>
    <t>Materials resistant to sulfide stress cracking in petroleum refining</t>
  </si>
  <si>
    <t>The refinery counterpart of MR0175</t>
  </si>
  <si>
    <t>EN 10204</t>
  </si>
  <si>
    <t>Inspection documents for metallic products</t>
  </si>
  <si>
    <t>3.1 = manufacturer's authorised inspector independent of production; 3.2 = adds purchaser's or official inspector</t>
  </si>
  <si>
    <t>E. Errors on the Sagar Steel flange page - do not copy</t>
  </si>
  <si>
    <t>What their page shows</t>
  </si>
  <si>
    <t>Correct position</t>
  </si>
  <si>
    <t>How to verify</t>
  </si>
  <si>
    <t>Tensile and yield strength swapped on seven F-grade rows (e.g. F11 shown as tensile 205 MPa, yield 415 MPa).</t>
  </si>
  <si>
    <t>Yield is always below tensile. ASTM A182 F11 Class 1 = tensile 415 MPa min, yield 205 MPa min (Class 2: 485 / 275; Class 3: 515 / 310).</t>
  </si>
  <si>
    <t>ASTM A182/A182M - mechanical requirements table</t>
  </si>
  <si>
    <t>Chromium for F12 and F22 shown as 4-6 %.</t>
  </si>
  <si>
    <t>A182 F12 = 0.80-1.25 % Cr; F22 = 2.00-2.50 % Cr. 4.0-6.0 % Cr is grade F5.</t>
  </si>
  <si>
    <t>ASTM A182/A182M - chemical requirements table</t>
  </si>
  <si>
    <t>Pipe specifications (ASTM A335, A691, SA790) listed as flange grades.</t>
  </si>
  <si>
    <t>Flanges are forgings: A105 (carbon steel), A350 (low temperature), A182 (alloy and stainless), A694 (high-yield pipeline). A335, A691 and A790 are pipe specifications.</t>
  </si>
  <si>
    <t>Scope clause of each ASTM specification</t>
  </si>
  <si>
    <t>Cites ISO 9001:2008.</t>
  </si>
  <si>
    <t>Replaced by ISO 9001:2015; 2008 certificates lapsed in September 2018. Show only current certificates, with number and validity.</t>
  </si>
  <si>
    <t>Certification body's public register</t>
  </si>
  <si>
    <t>F. Before any number from this tab goes live</t>
  </si>
  <si>
    <t>1. Check it against the current edition of the standard the client holds, and state the Class or Series where it matters.</t>
  </si>
  <si>
    <t>2. Write it in your own words or as a short example; do not reproduce ASME, ASTM or EN tables.</t>
  </si>
  <si>
    <t>3. The gated weight &amp; dimension chart (tab 10, Form C) must be built from Remax's own drawings and production data.</t>
  </si>
  <si>
    <t>4. Where a page states a capability (RTJ, NACE, IBR, large bore), the matching tab 15 answer must be 'yes' first.</t>
  </si>
  <si>
    <t>16. Tickets, QA script, rollout plan and KPIs</t>
  </si>
  <si>
    <t>Every ticket carries its own acceptance test - a ticket is Done only when the test passes on the live site. Status cells (yellow) are for the developer and Akshat to update.</t>
  </si>
  <si>
    <t>A. Tickets</t>
  </si>
  <si>
    <t>Ticket</t>
  </si>
  <si>
    <t>What to do</t>
  </si>
  <si>
    <t>Acceptance test</t>
  </si>
  <si>
    <t>Owner</t>
  </si>
  <si>
    <t>Effort</t>
  </si>
  <si>
    <t>Depends on</t>
  </si>
  <si>
    <t>Week</t>
  </si>
  <si>
    <t>Daily-log link</t>
  </si>
  <si>
    <t>DL</t>
  </si>
  <si>
    <t>Daily-log P0s that gate everything</t>
  </si>
  <si>
    <t>Ship the open P0s from the daily SEO log before any new page: T1-b trailingSlash (= C-01), T1-e strip tel: (= C-02), T0-a sitemap lists /products/ with a real lastmod, T1-a static nav, T1-j link the flange hub and repoint the footer, T0-c CI guard so none of it reverts.</t>
  </si>
  <si>
    <t>Each ticket's own acceptance test in the daily-log workbook (tab 3).</t>
  </si>
  <si>
    <t>Dev</t>
  </si>
  <si>
    <t>~70 min + CI guard</t>
  </si>
  <si>
    <t>P0</t>
  </si>
  <si>
    <t>W0</t>
  </si>
  <si>
    <t>To do</t>
  </si>
  <si>
    <t>Day 41: T1-b, T1-e, T0-a, T1-a, T1-j, T0-c; A-64</t>
  </si>
  <si>
    <t>C-00</t>
  </si>
  <si>
    <t>Crawl access check (robots.txt)</t>
  </si>
  <si>
    <t>1) robots.txt must answer 200 (or 404) in under a second - repeated timeouts or 5xx answers make Google slow or pause crawling of the whole site. 2) List the user-agents it blocks. On 27 Sep 2026 an AI page fetcher was refused /visakhapatnam/ as 'disallowed by robots.txt' - so AI crawlers may now be blocked (hypothesis). Google Search is unaffected, but blocked AI crawlers cannot read or cite the pages: decide deliberately and write the decision down.</t>
  </si>
  <si>
    <t>curl -s -o /dev/null -w "%{http_code} %{time_total}s\n" https://remaxforge.com/robots.txt
-&gt; 200 or 404, under 1 s
curl -s https://remaxforge.com/robots.txt
-&gt; no Disallow matching /visakhapatnam/ or /market-area/ for Googlebot or *</t>
  </si>
  <si>
    <t>15 min</t>
  </si>
  <si>
    <t>Day 41 (robots.txt timeouts from the audit sandbox - unconfirmed)</t>
  </si>
  <si>
    <t>C-01</t>
  </si>
  <si>
    <t>One URL per page: trailing slash</t>
  </si>
  <si>
    <t>Set trailingSlash: true. Every no-slash URL 301/308-redirects to the slash form, and every internal href is emitted in slash form.</t>
  </si>
  <si>
    <t>curl -sI https://remaxforge.com/visakhapatnam | grep -iE "^(HTTP|location)"
-&gt; 301 or 308 + location .../visakhapatnam/
curl -s https://remaxforge.com/ | grep -oE 'href="/[^"#?.]*[^/"#?.]"' | wc -l
-&gt; 0 (repeat on a city page and a product page)</t>
  </si>
  <si>
    <t>10 min</t>
  </si>
  <si>
    <t>T1-b; A-48, A-62</t>
  </si>
  <si>
    <t>C-02</t>
  </si>
  <si>
    <t>Strip phone, tel: and WhatsApp everywhere</t>
  </si>
  <si>
    <t>Remove the visible number, every tel: link, any WhatsApp link or widget, and any telephone property in schema - header, footer, every template, product pages. Also check images and PDFs for the number.</t>
  </si>
  <si>
    <t>for u in / /visakhapatnam/ /vijayawada/ /guntur/ /nellore/ /kurnool/ /itanagar/ /products/flanges/slip-on-flange/; do printf '%s ' $u; curl -s "https://remaxforge.com$u" | grep -ciE 'tel:|wa\.me|whatsapp|telephone|9[ -]?7[ -]?6[ -]?9[ -]?9[ -]?8[ -]?3[ -]?1[ -]?0[ -]?8'; done
-&gt; 0 on every line</t>
  </si>
  <si>
    <t>30 min</t>
  </si>
  <si>
    <t>T1-e; A-03</t>
  </si>
  <si>
    <t>C-03</t>
  </si>
  <si>
    <t>Build /market-area/ and the Andhra Pradesh hub</t>
  </si>
  <si>
    <t>Hub variant of the tab 7 template; copy from tabs 8 and 9; links per tab 12. If /market-area/ is not built, drop that breadcrumb level everywhere.</t>
  </si>
  <si>
    <t>QA script (C-14): both URLs PASS; each linked from the footer or the index; both in the sitemap.</t>
  </si>
  <si>
    <t>Dev + Agency</t>
  </si>
  <si>
    <t>1 day</t>
  </si>
  <si>
    <t>C-01, C-02</t>
  </si>
  <si>
    <t>W1</t>
  </si>
  <si>
    <t>C-04</t>
  </si>
  <si>
    <t>Rebuild the 5 Andhra Pradesh city pages</t>
  </si>
  <si>
    <t>One template (tab 7), copy from tabs 8, 8b and 9, specs from tab 6. Vizag, Vijayawada and Nellore first (P1), then Guntur and Kurnool (P2).</t>
  </si>
  <si>
    <t>Tab 6 column Z = READY before publishing; QA script PASS after publishing.</t>
  </si>
  <si>
    <t>2-3 days</t>
  </si>
  <si>
    <t>C-01, C-02, blocking inputs in tab 15</t>
  </si>
  <si>
    <t>W1-W3</t>
  </si>
  <si>
    <t>C-05</t>
  </si>
  <si>
    <t>Forms A, B (#rfq) and C + hidden fields + thank-you URL</t>
  </si>
  <si>
    <t>Build per tab 10; attribution script before &lt;/body&gt;; route to the sales inbox (tab 15 I-35); autoresponder; spam protection.</t>
  </si>
  <si>
    <t>Submit a test lead from Form A and Form B on /visakhapatnam/?utm_source=test -&gt; the sales email shows city=Visakhapatnam, form_id, page_url and utm_source=test; the browser lands on /thank-you/?form=hero&amp;city=visakhapatnam; the autoresponder arrives.</t>
  </si>
  <si>
    <t>Tab 15 I-35, I-36</t>
  </si>
  <si>
    <t>W2</t>
  </si>
  <si>
    <t>C-06</t>
  </si>
  <si>
    <t>Schema JSON-LD</t>
  </si>
  <si>
    <t>Paste the values of tab 11 column D. Exactly one Organization node sitewide - coordinate with daily-log T2-a.</t>
  </si>
  <si>
    <t>Rich Results Test and validator.schema.org: 0 errors on every page.
curl -s &lt;URL&gt; | grep -ci telephone  -&gt; 0</t>
  </si>
  <si>
    <t>2 h</t>
  </si>
  <si>
    <t>Tab 15 I-10, I-11, I-32 to I-34 (optional parts)</t>
  </si>
  <si>
    <t>T2-a; A-04</t>
  </si>
  <si>
    <t>C-07</t>
  </si>
  <si>
    <t>Breadcrumbs, canonical, meta robots</t>
  </si>
  <si>
    <t>Visible breadcrumb (tab 7 section 1); one absolute slash-form canonical; index, follow; /thank-you/ noindex, follow.</t>
  </si>
  <si>
    <t>curl -s https://remaxforge.com/visakhapatnam/ | grep -io '&lt;link[^&gt;]*canonical[^&gt;]*&gt;'
-&gt; exactly one, href=https://remaxforge.com/visakhapatnam/</t>
  </si>
  <si>
    <t>1 h</t>
  </si>
  <si>
    <t>C-08</t>
  </si>
  <si>
    <t>Internal links</t>
  </si>
  <si>
    <t>Add every link in tab 12 section A; repoint links to redirected towns.</t>
  </si>
  <si>
    <t>Every row in tab 12 section A live; each new page has 2+ inbound links from pages Google already indexes.</t>
  </si>
  <si>
    <t>C-09</t>
  </si>
  <si>
    <t>Sitemap</t>
  </si>
  <si>
    <t>Add each page the day it goes live with a real lastmod; remove redirected towns; keep /thank-you/ out. Fix the /products/ omission in the same deploy (T0-a) with the CI guard (T0-c).</t>
  </si>
  <si>
    <t>curl -s https://remaxforge.com/sitemap.xml | grep -c '&lt;loc&gt;https://remaxforge.com/visakhapatnam/&lt;/loc&gt;'  -&gt; 1 (check the child sitemap if there is an index; repeat per live page)</t>
  </si>
  <si>
    <t>T0-a, T0-c; A-33, A-63</t>
  </si>
  <si>
    <t>C-10</t>
  </si>
  <si>
    <t>301 redirects (Option A)</t>
  </si>
  <si>
    <t>Per tab 12 section B: both URL forms, single hop - switched on only when the target page is live.</t>
  </si>
  <si>
    <t>curl -sI https://remaxforge.com/naharlagun | grep -iE "^(HTTP|location)"
-&gt; 301 + location https://remaxforge.com/itanagar/ (repeat for all 8 rows)</t>
  </si>
  <si>
    <t>C-15; Option A chosen in tab 1</t>
  </si>
  <si>
    <t>W4</t>
  </si>
  <si>
    <t>17. Sources - where every fact came from, and which claims still need a check before publishing</t>
  </si>
  <si>
    <t>Web research done 27 Sep 2026. Anything in section D came from general knowledge, not a source fetched for this plan - verify it or delete the name (keep the industry).</t>
  </si>
  <si>
    <t>C-11</t>
  </si>
  <si>
    <t>A. Verified during research - local facts used on the pages</t>
  </si>
  <si>
    <t>Photos</t>
  </si>
  <si>
    <t>Shoot P01-P15 (tab 13); WebP, width/height, lazy-load, EXIF stripped; alt text and captions from tab 13.</t>
  </si>
  <si>
    <t>Every &lt;img&gt; on the 9 pages has width, height and alt; no phone number visible in any image (manual check).</t>
  </si>
  <si>
    <t>Client (shoot) + Dev</t>
  </si>
  <si>
    <t>1 day shoot</t>
  </si>
  <si>
    <t>Fact used</t>
  </si>
  <si>
    <t>Source</t>
  </si>
  <si>
    <t>Source date</t>
  </si>
  <si>
    <t>W1 shoot, W3 live</t>
  </si>
  <si>
    <t>AM/NS India's 8.2 MTPA integrated steel plant at Rajayyapeta, Anakapalli district; foundation stone laid</t>
  </si>
  <si>
    <t>C-12</t>
  </si>
  <si>
    <t>Visakhapatnam, AP hub</t>
  </si>
  <si>
    <t>AM/NS India project page</t>
  </si>
  <si>
    <t>Videos V1-V5</t>
  </si>
  <si>
    <t>https://www.amns.in/Ap</t>
  </si>
  <si>
    <t>Click-to-load facade (no player script until clicked), transcript in the HTML, VideoObject per tab 13.</t>
  </si>
  <si>
    <t>Checked 27 Sep 2026</t>
  </si>
  <si>
    <t>PageSpeed: no video-player scripts before interaction; Rich Results Test detects the VideoObject.</t>
  </si>
  <si>
    <t>Client + Dev</t>
  </si>
  <si>
    <t>Foundation-stone ceremony for the AM/NS greenfield plant in Andhra Pradesh</t>
  </si>
  <si>
    <t>2 days</t>
  </si>
  <si>
    <t>worldsteel (ArcelorMittal release)</t>
  </si>
  <si>
    <t>W3</t>
  </si>
  <si>
    <t>https://worldsteel.org/zh-hans/?p=69417</t>
  </si>
  <si>
    <t>23 Mar 2026</t>
  </si>
  <si>
    <t>Rs 70,000 crore investment; first phase 8.2 MTPA; steelmaking targeted for 2029</t>
  </si>
  <si>
    <t>C-13</t>
  </si>
  <si>
    <t>Core Web Vitals</t>
  </si>
  <si>
    <t>SSMB</t>
  </si>
  <si>
    <t>https://ssmb.in/?p=28439</t>
  </si>
  <si>
    <t>Mobile, per page: LCP &lt;= 2.5 s, INP &lt;= 200 ms, CLS &lt;= 0.1 (field data once available; lab data meanwhile).</t>
  </si>
  <si>
    <t>24 Mar 2026</t>
  </si>
  <si>
    <t>PageSpeed Insights (mobile) for each of the 9 URLs; record in the KPI block below.</t>
  </si>
  <si>
    <t>Environmental clearance for the Anakapalli plant</t>
  </si>
  <si>
    <t>0.5-1 day</t>
  </si>
  <si>
    <t>Visakhapatnam (background)</t>
  </si>
  <si>
    <t>C-11, C-12</t>
  </si>
  <si>
    <t>https://ssmb.in/?p=26992</t>
  </si>
  <si>
    <t>2 Nov 2025</t>
  </si>
  <si>
    <t>Andhra Pradesh Cabinet approves a captive port for the AM/NS plant (D.L. Puram)</t>
  </si>
  <si>
    <t>C-14</t>
  </si>
  <si>
    <t>India Sea Trade News</t>
  </si>
  <si>
    <t>QA script pass</t>
  </si>
  <si>
    <t>https://indiaseatradenews.com/?p=114351</t>
  </si>
  <si>
    <t>Run the script in section B after every deploy that touches these pages.</t>
  </si>
  <si>
    <t>6 Jul 2026</t>
  </si>
  <si>
    <t>python3 qa_city_pages.py  -&gt; RESULT: PASS</t>
  </si>
  <si>
    <t>Dev / Agency</t>
  </si>
  <si>
    <t>BPCL refinery-cum-petrochemical complex near Ramayapatnam Port: 6,000 acres allotted, 9-12 MMTPA, about Rs 1 lakh crore</t>
  </si>
  <si>
    <t>Nellore, AP hub</t>
  </si>
  <si>
    <t>Business Standard (BPCL news listing)</t>
  </si>
  <si>
    <t>C-01 to C-09</t>
  </si>
  <si>
    <t>https://www.business-standard.com/markets/bharat-petroleum-corporation-ltd-share-price-2290/news/page-2</t>
  </si>
  <si>
    <t>W2, W3, W4</t>
  </si>
  <si>
    <t>Oct 2025</t>
  </si>
  <si>
    <t>BPCL-Oil India MoU; 9-12 MMTPA; Rs 1 lakh crore (US$11 bn)</t>
  </si>
  <si>
    <t>EPC World</t>
  </si>
  <si>
    <t>https://epcworld.in/?p=28286</t>
  </si>
  <si>
    <t>C-15</t>
  </si>
  <si>
    <t>Older reports put the BPCL project at Rs 60,000 crore - the pages use the later, larger figure</t>
  </si>
  <si>
    <t>Arunachal hub + Itanagar &amp; Naharlagun page</t>
  </si>
  <si>
    <t>Not used on pages</t>
  </si>
  <si>
    <t>Build /market-area/arunachal-pradesh/ and rebuild /itanagar/, then switch on the 301s (C-10).</t>
  </si>
  <si>
    <t>https://indiaseatradenews.com/?p=102730</t>
  </si>
  <si>
    <t>QA script PASS for both; tab 6 READY.</t>
  </si>
  <si>
    <t>Older report</t>
  </si>
  <si>
    <t>Greenko Pinnapuram IREP phase I: 1,000 MW solar, 550 MW wind, 1,200 MW standalone pumped storage</t>
  </si>
  <si>
    <t>Kurnool, AP hub</t>
  </si>
  <si>
    <t>C-03 template</t>
  </si>
  <si>
    <t>Greenko project page</t>
  </si>
  <si>
    <t>https://greenkogroup.com/ap01.php</t>
  </si>
  <si>
    <t>Pinnapuram is in Panyam mandal; state approval of the project</t>
  </si>
  <si>
    <t>C-16</t>
  </si>
  <si>
    <t>Request indexing</t>
  </si>
  <si>
    <t>PV Tech</t>
  </si>
  <si>
    <t>Search Console &gt; URL Inspection &gt; Request indexing, in the tab 12 section D order, after the product-page queue.</t>
  </si>
  <si>
    <t>https://pv-tech.org/greenko-bags-approval-for-2-75gw-solar-wind-storage-project-in-india</t>
  </si>
  <si>
    <t>Tab 12 section D shows Indexed for all 9 URLs by W6 (goal).</t>
  </si>
  <si>
    <t>Client / Agency</t>
  </si>
  <si>
    <t>5 min a day</t>
  </si>
  <si>
    <t>Pinnapuram Unit 1 wet-commissioned in pump mode</t>
  </si>
  <si>
    <t>Kurnool (background)</t>
  </si>
  <si>
    <t>Page live, READY, in sitemap, linked</t>
  </si>
  <si>
    <t>Water Power Magazine</t>
  </si>
  <si>
    <t>W2-W4</t>
  </si>
  <si>
    <t>https://www.waterpowermagazine.com/?p=26048</t>
  </si>
  <si>
    <t>Daily-log tab 7 queue</t>
  </si>
  <si>
    <t>World Bank and ADB committed US$1.6 bn (US$800 m each) to Amaravati Capital Phase-I</t>
  </si>
  <si>
    <t>Vijayawada, AP hub</t>
  </si>
  <si>
    <t>C-17</t>
  </si>
  <si>
    <t>ETV Bharat</t>
  </si>
  <si>
    <t>Measurement</t>
  </si>
  <si>
    <t>https://www.etvbharat.com/en/bharat/world-bank-releases-usd-340-mn-for-amaravati-development-enn26041201472</t>
  </si>
  <si>
    <t>12 Apr 2026</t>
  </si>
  <si>
    <t>Confirm GTM-RF2026X is a real, published container; GA4 counts /thank-you/ views by form and city; monthly lead report by city from the sales inbox.</t>
  </si>
  <si>
    <t>GA4 Realtime shows the C-05 test lead's /thank-you/?form=hero&amp;city=visakhapatnam view.</t>
  </si>
  <si>
    <t>ADB's US$788.8 m results-based loan for Amaravati</t>
  </si>
  <si>
    <t>Vijayawada (background)</t>
  </si>
  <si>
    <t>Business Standard topic page</t>
  </si>
  <si>
    <t>C-05, tab 15 I-40</t>
  </si>
  <si>
    <t>https://business-standard.com/topic/amravati</t>
  </si>
  <si>
    <t>Dec 2024</t>
  </si>
  <si>
    <t>B. Benchmark and competitor pages (checked 27 Sep 2026 - see tabs 2-4)</t>
  </si>
  <si>
    <t>A-11</t>
  </si>
  <si>
    <t>Why it is here</t>
  </si>
  <si>
    <t>Viraj - stainless flanges</t>
  </si>
  <si>
    <t>Benchmark for depth (tab 4)</t>
  </si>
  <si>
    <t>https://www.viraj.com/stainless-steel-flanges/</t>
  </si>
  <si>
    <t>Sagar Steel - flanges</t>
  </si>
  <si>
    <t>Benchmark for education; contains errors (tab 14 E)</t>
  </si>
  <si>
    <t>https://sagarsteel.net/flanges-manufacturer-india/</t>
  </si>
  <si>
    <t>Nitech Stainless - Visakhapatnam</t>
  </si>
  <si>
    <t>Templated city page (Vizag SERP)</t>
  </si>
  <si>
    <t>https://nitechstainless.com/pipe-fitting/flanges-manufacturers-suppliers-dealers-exporters-in-visakhapatnam.php</t>
  </si>
  <si>
    <t>B. QA script - copy column A (the rows below) into a file named qa_city_pages.py and run: python3 qa_city_pages.py</t>
  </si>
  <si>
    <t>Rudra Impex - Visakhapatnam</t>
  </si>
  <si>
    <t>https://www.rudraimpex.in/visakhapatnam/flange</t>
  </si>
  <si>
    <t>Standard-library Python 3, no installs. Checks each page: HTTP 200 at the slash URL, one H1, title length, canonical, noindex, forbidden strings (phone, tel:, WhatsApp, telephone), leftover [CLIENT]/[CONFIRM]/[DEV] markers, the #rfq form, JSON-LD syntax, slash-form links, words vs floor; then uniqueness between city pages. Word floors come live from tab 6 column N.</t>
  </si>
  <si>
    <t>Riddhi Siddhi Metal - Visakhapatnam</t>
  </si>
  <si>
    <t>City page with unverified approval claims</t>
  </si>
  <si>
    <t>https://riddhisiddhimetal.com/ss-flange-manufacturer-visakhapatnam/</t>
  </si>
  <si>
    <t>Kalikund Steel - Vijayawada</t>
  </si>
  <si>
    <t>Material x city matrix page</t>
  </si>
  <si>
    <t>#!/usr/bin/env python3</t>
  </si>
  <si>
    <t>https://www.kalikundsteel.com/city/stainless-steel-flanges-supplier-stockist-in-vijayawada/</t>
  </si>
  <si>
    <t># Remax Forge city-page QA - Python 3 standard library only. Run: python3 qa_city_pages.py [BASE_URL]</t>
  </si>
  <si>
    <t>Kalikund Steel - Visakhapatnam</t>
  </si>
  <si>
    <t># Exit code 0 = every page PASS, 1 = at least one FAIL. Re-run after every deploy (tab 16, ticket C-14).</t>
  </si>
  <si>
    <t>import html, itertools, json, re, sys, urllib.request</t>
  </si>
  <si>
    <t>https://www.kalikundsteel.com/city/alloy-steel-flanges-supplier-stockist-in-visakhapatnam/</t>
  </si>
  <si>
    <t>BASE = (sys.argv[1] if len(sys.argv) &gt; 1 else "https://remaxforge.com").rstrip("/")</t>
  </si>
  <si>
    <t>Kanak Bhuvan - Visakhapatnam</t>
  </si>
  <si>
    <t>Templated city page</t>
  </si>
  <si>
    <t>CANON_HOST = "https://remaxforge.com"          # canonicals must always point here, whatever BASE is</t>
  </si>
  <si>
    <t>PAGES = {                                       # path: word floor (tab 6, column N)</t>
  </si>
  <si>
    <t>https://kanakbhuvan.com/pipe-fittings-manufacturer-supplier-visakhapatnam.php</t>
  </si>
  <si>
    <t>ASTM Steel Pipes - Vijayawada</t>
  </si>
  <si>
    <t>https://www.astmsteelpipes.com/vijayawada/flanges.htm</t>
  </si>
  <si>
    <t>Nascent Fit - Nellore</t>
  </si>
  <si>
    <t>Product x city page</t>
  </si>
  <si>
    <t>https://www.nascentfit.com/city/india/andhra-pradesh/nellore/flanges/blind-flange</t>
  </si>
  <si>
    <t>MH Infra Project - Andhra Pradesh</t>
  </si>
  <si>
    <t>Out-of-state firm's state page (Kurnool SERP)</t>
  </si>
  <si>
    <t>https://mhinfraproject.com/index.php/2025/10/13/stainless-steel-flanges-in-andhra-pradesh/</t>
  </si>
  <si>
    <t>RFP India - Tawang</t>
  </si>
  <si>
    <t>Programmatic spam (Arunachal SERPs)</t>
  </si>
  <si>
    <t>https://www.rfpindia.com/city/india/arunachal-pradesh/tawang</t>
  </si>
  <si>
    <t>Justdial - Visakhapatnam</t>
  </si>
  <si>
    <t>Directory</t>
  </si>
  <si>
    <t>https://www.justdial.com/Visakhapatnam/Flange-Manufacturers/nct-10209715</t>
  </si>
  <si>
    <t>Justdial - Vijayawada</t>
  </si>
  <si>
    <t>https://www.justdial.com/Vijayawada/Flange-Dealers/nct-10209692</t>
  </si>
  <si>
    <t>TradeIndia - Visakhapatnam</t>
  </si>
  <si>
    <t>https://www.tradeindia.com/visakhapatnam/stainless-steel-flanges-city-225670.html</t>
  </si>
  <si>
    <t>IndiaMART - Guntur</t>
  </si>
  <si>
    <t>https://dir.indiamart.com/guntur/pipe-fittings.html</t>
  </si>
  <si>
    <t>C. Client and project data</t>
  </si>
  <si>
    <t>Data</t>
  </si>
  <si>
    <t>Where from</t>
  </si>
  <si>
    <t>Google Search Console pages export (about 5.5 months)</t>
  </si>
  <si>
    <t>Master plan workbook, sheet '12. GSC Raw Data - Pages'</t>
  </si>
  <si>
    <t>Tab 1</t>
  </si>
  <si>
    <t>Daily SEO log, Day 41 (27 Sep 2026)</t>
  </si>
  <si>
    <t>Project file claude_daily-seo-log.md</t>
  </si>
  <si>
    <t>Tabs 1, 12, 16</t>
  </si>
  <si>
    <t>}</t>
  </si>
  <si>
    <t>CITY = ["/visakhapatnam/", "/vijayawada/", "/guntur/", "/nellore/", "/kurnool/", "/itanagar/"]</t>
  </si>
  <si>
    <t>Company facts: CEO Vikas Purohit; up to 10 employees; GST registration 2020; proprietorship; GSTIN 27FFLPP0007K1ZA</t>
  </si>
  <si>
    <t>Stated by the client</t>
  </si>
  <si>
    <t>FORBID = re.compile(r'tel:|wa\.me|whatsapp|"telephone"|9[ -]?7[ -]?6[ -]?9[ -]?9[ -]?8[ -]?3[ -]?1[ -]?0[ -]?8', re.I)</t>
  </si>
  <si>
    <t>MARKER = re.compile(r"\[(CLIENT|CONFIRM|DEV)")</t>
  </si>
  <si>
    <t>Trust strip (tab 8), schema (tab 11)</t>
  </si>
  <si>
    <t>20 SERP checks, 'flanges manufacturer in {city}' / 'flange supplier in {city}'</t>
  </si>
  <si>
    <t>Web-search API, 27 Sep 2026 - not geo-located</t>
  </si>
  <si>
    <t>UNIQ_MIN, SIM_WARN, SIM_FAIL = 0.65, 0.25, 0.35</t>
  </si>
  <si>
    <t>Tab 2</t>
  </si>
  <si>
    <t>def fetch(url):</t>
  </si>
  <si>
    <t>D. From general knowledge - verify before publishing (or delete the name and keep the industry)</t>
  </si>
  <si>
    <t xml:space="preserve">    req = urllib.request.Request(url, headers={"User-Agent": "Mozilla/5.0 (RemaxQA)"})</t>
  </si>
  <si>
    <t xml:space="preserve">    with urllib.request.urlopen(req, timeout=30) as r:</t>
  </si>
  <si>
    <t>Claim on the page</t>
  </si>
  <si>
    <t xml:space="preserve">        return r.status, r.geturl(), r.read().decode("utf-8", "replace")</t>
  </si>
  <si>
    <t>def attr(tag, name):</t>
  </si>
  <si>
    <t xml:space="preserve">    m = re.search(r"\b" + name + r"\s*=\s*[\"']([^\"']*)[\"']", tag, re.I)</t>
  </si>
  <si>
    <t>Visakhapatnam Steel Plant (RINL)</t>
  </si>
  <si>
    <t xml:space="preserve">    return m.group(1).strip() if m else ""</t>
  </si>
  <si>
    <t>Operator website</t>
  </si>
  <si>
    <t>def main_text(h):</t>
  </si>
  <si>
    <t xml:space="preserve">    m = re.search(r"&lt;main\b.*?&lt;/main&gt;", h, re.S | re.I)</t>
  </si>
  <si>
    <t xml:space="preserve">    h = m.group(0) if m else h</t>
  </si>
  <si>
    <t xml:space="preserve">    h = re.sub(r"&lt;(script|style|noscript|svg|template)\b.*?&lt;/\1&gt;", " ", h, flags=re.S | re.I)</t>
  </si>
  <si>
    <t xml:space="preserve">    return html.unescape(re.sub(r"&lt;[^&gt;]+&gt;", " ", h))</t>
  </si>
  <si>
    <t>To verify</t>
  </si>
  <si>
    <t>HPCL Visakh Refinery and product terminals around the port</t>
  </si>
  <si>
    <t>HPCL website</t>
  </si>
  <si>
    <t>def shingles(t, n=5):</t>
  </si>
  <si>
    <t xml:space="preserve">    w = re.findall(r"[a-z0-9]+", t.lower())</t>
  </si>
  <si>
    <t xml:space="preserve">    return {tuple(w[i:i + n]) for i in range(len(w) - n + 1)}</t>
  </si>
  <si>
    <t>Visakhapatnam Port, Gangavaram Port, Hindustan Shipyard</t>
  </si>
  <si>
    <t>Port and shipyard websites</t>
  </si>
  <si>
    <t>def bad_links(h):</t>
  </si>
  <si>
    <t xml:space="preserve">    out = []</t>
  </si>
  <si>
    <t xml:space="preserve">    for href in re.findall(r"href\s*=\s*[\"']([^\"'#?]+)", h, re.I):</t>
  </si>
  <si>
    <t xml:space="preserve">        if href.startswith(CANON_HOST):</t>
  </si>
  <si>
    <t>NTPC / NTPC Green press releases</t>
  </si>
  <si>
    <t xml:space="preserve">            path = href[len(CANON_HOST):] or "/"</t>
  </si>
  <si>
    <t xml:space="preserve">        elif href.startswith("/") and not href.startswith("//"):</t>
  </si>
  <si>
    <t xml:space="preserve">            path = href</t>
  </si>
  <si>
    <t xml:space="preserve">        else:</t>
  </si>
  <si>
    <t>JN Pharma City (Parawada), Visakhapatnam SEZ (Duvvada), Atchutapuram SEZ, bulk drug park at Nakkapalli</t>
  </si>
  <si>
    <t>APIIC / SEZ websites; recent news for the bulk drug park</t>
  </si>
  <si>
    <t xml:space="preserve">            continue</t>
  </si>
  <si>
    <t xml:space="preserve">        if not path.endswith("/") and "." not in path.rsplit("/", 1)[-1]:</t>
  </si>
  <si>
    <t xml:space="preserve">            out.append(path)</t>
  </si>
  <si>
    <t xml:space="preserve">    return sorted(set(out))</t>
  </si>
  <si>
    <t>BHEL Heavy Plates &amp; Vessels Plant; fabricators around Autonagar and Gajuwaka</t>
  </si>
  <si>
    <t>BHEL website</t>
  </si>
  <si>
    <t>fails, texts = 0, {}</t>
  </si>
  <si>
    <t>for path, floor in PAGES.items():</t>
  </si>
  <si>
    <t xml:space="preserve">    url = BASE + path</t>
  </si>
  <si>
    <t>APGENCO website</t>
  </si>
  <si>
    <t xml:space="preserve">    try:</t>
  </si>
  <si>
    <t xml:space="preserve">        code, final, h = fetch(url)</t>
  </si>
  <si>
    <t xml:space="preserve">    except Exception as e:</t>
  </si>
  <si>
    <t>Kondapalli IDA, Autonagar, Mallavalli industrial park</t>
  </si>
  <si>
    <t xml:space="preserve">        print("FAIL  %-34s could not fetch: %s" % (path, e))</t>
  </si>
  <si>
    <t>APIIC website</t>
  </si>
  <si>
    <t xml:space="preserve">        fails += 1</t>
  </si>
  <si>
    <t xml:space="preserve">        continue</t>
  </si>
  <si>
    <t xml:space="preserve">    text = main_text(h)</t>
  </si>
  <si>
    <t>Amaravati contractors mobilised on roads, housing, government buildings and city systems</t>
  </si>
  <si>
    <t xml:space="preserve">    words = len(text.split())</t>
  </si>
  <si>
    <t>APCRDA / news from the last 60 days - status changes monthly</t>
  </si>
  <si>
    <t xml:space="preserve">    if path in CITY:</t>
  </si>
  <si>
    <t xml:space="preserve">        texts[path] = shingles(text)</t>
  </si>
  <si>
    <t xml:space="preserve">    m = re.search(r"&lt;title[^&gt;]*&gt;(.*?)&lt;/title&gt;", h, re.S | re.I)</t>
  </si>
  <si>
    <t xml:space="preserve">    title = html.unescape(m.group(1)).strip() if m else ""</t>
  </si>
  <si>
    <t>Guntur Mirchi Yard and the chilli cold-storage cluster</t>
  </si>
  <si>
    <t>AP Agricultural Marketing Department</t>
  </si>
  <si>
    <t xml:space="preserve">    canon = [attr(t, "href") for t in re.findall(r"&lt;link\b[^&gt;]*&gt;", h, re.I) if attr(t, "rel").lower() == "canonical"]</t>
  </si>
  <si>
    <t xml:space="preserve">    robots = " ".join(attr(t, "content") for t in re.findall(r"&lt;meta\b[^&gt;]*&gt;", h, re.I) if attr(t, "name").lower() == "robots")</t>
  </si>
  <si>
    <t xml:space="preserve">    ld_ok = True</t>
  </si>
  <si>
    <t xml:space="preserve">    for block in re.findall(r"&lt;script[^&gt;]*application/ld\+json[^&gt;]*&gt;(.*?)&lt;/script&gt;", h, re.S | re.I):</t>
  </si>
  <si>
    <t>Tadepalli, Mangalagiri and Thullur mandals within the Amaravati capital area</t>
  </si>
  <si>
    <t xml:space="preserve">        try:</t>
  </si>
  <si>
    <t>APCRDA</t>
  </si>
  <si>
    <t xml:space="preserve">            json.loads(block)</t>
  </si>
  <si>
    <t xml:space="preserve">        except ValueError:</t>
  </si>
  <si>
    <t>Sri Damodaram Sanjeevaiah TPS (APGENCO); private stations in the Krishnapatnam-Painampuram area</t>
  </si>
  <si>
    <t xml:space="preserve">            ld_ok = False</t>
  </si>
  <si>
    <t>APGENCO / operator websites</t>
  </si>
  <si>
    <t xml:space="preserve">    links = bad_links(h)</t>
  </si>
  <si>
    <t xml:space="preserve">    checks = [</t>
  </si>
  <si>
    <t xml:space="preserve">        ("HTTP 200 at the slash URL, no redirect", code == 200 and final == url),</t>
  </si>
  <si>
    <t>Port websites</t>
  </si>
  <si>
    <t xml:space="preserve">        ("exactly one &lt;h1&gt;", len(re.findall(r"&lt;h1\b", h, re.I)) == 1),</t>
  </si>
  <si>
    <t xml:space="preserve">        ("title 30-60 characters (now %d)" % len(title), 30 &lt;= len(title) &lt;= 60),</t>
  </si>
  <si>
    <t xml:space="preserve">        ("one canonical = " + CANON_HOST + path, canon == [CANON_HOST + path]),</t>
  </si>
  <si>
    <t>Kurnool Ultra Mega Solar Park (Panyam); Handri-Neeva lift scheme; Orvakal industrial area</t>
  </si>
  <si>
    <t xml:space="preserve">        ("indexable (no noindex)", "noindex" not in robots.lower()),</t>
  </si>
  <si>
    <t>APSPCL / Water Resources Dept / APIIC</t>
  </si>
  <si>
    <t xml:space="preserve">        ("no phone number, tel:, WhatsApp or telephone", not FORBID.search(h)),</t>
  </si>
  <si>
    <t xml:space="preserve">        ("no [CLIENT] / [CONFIRM] / [DEV] markers", not MARKER.search(h)),</t>
  </si>
  <si>
    <t xml:space="preserve">        ("quote form id=rfq present", re.search(r"id\s*=\s*[\"']rfq[\"']", h) is not None),</t>
  </si>
  <si>
    <t>Panyam mandal (Pinnapuram, the solar park) - likely now in Nandyal district after the 2022 reorganisation; the page already covers Nandyal</t>
  </si>
  <si>
    <t xml:space="preserve">        ("JSON-LD blocks parse", ld_ok),</t>
  </si>
  <si>
    <t>AP government district list - adjust wording if needed</t>
  </si>
  <si>
    <t xml:space="preserve">        ("internal links in slash form %s" % (links[:3] if links else ""), not links),</t>
  </si>
  <si>
    <t xml:space="preserve">        ("words in &lt;main&gt; &gt;= %d (now %d)" % (floor, words), words &gt;= floor),</t>
  </si>
  <si>
    <t xml:space="preserve">    ]</t>
  </si>
  <si>
    <t>TRIHMS at Naharlagun; Pare and Ranganadi (NEEPCO) near Doimukh; PHED / Jal Jeevan Mission schemes</t>
  </si>
  <si>
    <t xml:space="preserve">    bad = [name for name, ok in checks if not ok]</t>
  </si>
  <si>
    <t>Institute, NEEPCO and JJM websites</t>
  </si>
  <si>
    <t xml:space="preserve">    fails += 1 if bad else 0</t>
  </si>
  <si>
    <t xml:space="preserve">    print("%s  %-34s %5d words  %s" % ("FAIL" if bad else "PASS", path, words, "; ".join(bad)))</t>
  </si>
  <si>
    <t>Subansiri Lower (NHPC), Kameng (NEEPCO), Dibang Multipurpose Project</t>
  </si>
  <si>
    <t>print("\nUniqueness between city pages (5-word shingles):")</t>
  </si>
  <si>
    <t>Arunachal hub</t>
  </si>
  <si>
    <t>NHPC / NEEPCO websites</t>
  </si>
  <si>
    <t>for p in texts:</t>
  </si>
  <si>
    <t xml:space="preserve">    others = set().union(*[texts[o] for o in texts if o != p]) if len(texts) &gt; 1 else set()</t>
  </si>
  <si>
    <t xml:space="preserve">    share = 1 - len(texts[p] &amp; others) / max(1, len(texts[p]))</t>
  </si>
  <si>
    <t xml:space="preserve">    flag = "PASS" if share &gt;= UNIQ_MIN else "FAIL"</t>
  </si>
  <si>
    <t>Sela Tunnel bypasses Sela Pass on the Tawang route</t>
  </si>
  <si>
    <t>BRO / PIB releases</t>
  </si>
  <si>
    <t xml:space="preserve">    fails += flag == "FAIL"</t>
  </si>
  <si>
    <t xml:space="preserve">    print("%s  %-34s unique share %.1f%%" % (flag, p, 100 * share))</t>
  </si>
  <si>
    <t>for a, b in itertools.combinations(texts, 2):</t>
  </si>
  <si>
    <t>Inner Line Permit for crews from outside the state; transporters arrange it</t>
  </si>
  <si>
    <t>Arunachal ILP portal + the client's transporter (tab 15 I-08)</t>
  </si>
  <si>
    <t xml:space="preserve">    sim = len(texts[a] &amp; texts[b]) / max(1, len(texts[a] | texts[b]))</t>
  </si>
  <si>
    <t xml:space="preserve">    flag = "FAIL" if sim &gt; SIM_FAIL else "WARN" if sim &gt; SIM_WARN else "ok"</t>
  </si>
  <si>
    <t>Ranganadi project's dam at Yazali near Ziro; Siang large hydro still at proposal stage</t>
  </si>
  <si>
    <t xml:space="preserve">    if flag != "ok":</t>
  </si>
  <si>
    <t>NEEPCO; recent news</t>
  </si>
  <si>
    <t xml:space="preserve">        print("%s  %s vs %s similarity %.3f" % (flag, a, b, sim))</t>
  </si>
  <si>
    <t>print("\nRESULT:", "PASS" if fails == 0 else "FAIL (%d)" % fails)</t>
  </si>
  <si>
    <t>sys.exit(1 if fails else 0)</t>
  </si>
  <si>
    <t>C. Uniqueness snapshot - measured by the build script on the drafts in tabs 8, 8b and 9 (28 Sep 2026)</t>
  </si>
  <si>
    <t>Method: 5-word shingles over each page's full draft (including shared modules and tables). Target &gt;= 65 % unique; pairwise similarity &lt;= 0.25 (fail above 0.35). Blue = measured values; the QA script re-measures the live pages.</t>
  </si>
  <si>
    <t>Unique share</t>
  </si>
  <si>
    <t>E. Standards behind tab 14 - verify against the current editions the client holds; paraphrase, never paste tables</t>
  </si>
  <si>
    <t>ASME B16.5 / B16.47</t>
  </si>
  <si>
    <t>P-T ratings and flange dimensions (tab 14 A, C)</t>
  </si>
  <si>
    <t>ASTM A105, A350, A182, A694</t>
  </si>
  <si>
    <t>Mechanical and chemical requirements (tab 14 B, E)</t>
  </si>
  <si>
    <t>EN 1092-1; AWWA C207; IS 6392</t>
  </si>
  <si>
    <t>Drilling standards named on the Vijayawada, Kurnool and Itanagar pages</t>
  </si>
  <si>
    <t>NACE MR0175 / ISO 15156; NACE MR0103 / ISO 17945; EN 10204</t>
  </si>
  <si>
    <t>Sour service and inspection documents</t>
  </si>
  <si>
    <t>Highest pairwise similarity</t>
  </si>
  <si>
    <t>Lowest unique share</t>
  </si>
  <si>
    <t>D. Rollout, week by week</t>
  </si>
  <si>
    <t>Week 0 starts</t>
  </si>
  <si>
    <t>Yellow = change if the start slips; every date below moves with it.</t>
  </si>
  <si>
    <t>Starts</t>
  </si>
  <si>
    <t>Theme</t>
  </si>
  <si>
    <t>What ships</t>
  </si>
  <si>
    <t>Tickets</t>
  </si>
  <si>
    <t>Done when</t>
  </si>
  <si>
    <t>Unblock</t>
  </si>
  <si>
    <t>Daily-log P0s, C-00, C-01, C-02. Client picks Option A or B (tab 1) and answers the blocking inputs in tab 15.</t>
  </si>
  <si>
    <t>DL, C-00, C-01, C-02</t>
  </si>
  <si>
    <t>Dev, Client</t>
  </si>
  <si>
    <t>The C-00 to C-02 tests pass on the live site.</t>
  </si>
  <si>
    <t>Inputs, shoot, template</t>
  </si>
  <si>
    <t>Tab 15 complete; factory shoot P01-P15 plus V1 and V2 (tab 13); template built once (tab 7); /market-area/ and the Andhra Pradesh hub (C-03); Vizag, Vijayawada and Nellore copy finalised.</t>
  </si>
  <si>
    <t>C-03, C-04, C-11</t>
  </si>
  <si>
    <t>Dev, Agency, Client</t>
  </si>
  <si>
    <t>AP hub and the three P1 pages show READY in tab 6.</t>
  </si>
  <si>
    <t>Publish P1</t>
  </si>
  <si>
    <t>Forms (C-05), schema (C-06), breadcrumbs and canonicals (C-07), links (C-08), sitemap (C-09), measurement (C-17). Publish /market-area/, the AP hub, Vizag, Vijayawada and Nellore; request indexing after the product queue.</t>
  </si>
  <si>
    <t>C-05 to C-09, C-14, C-16, C-17</t>
  </si>
  <si>
    <t>Dev, Agency</t>
  </si>
  <si>
    <t>QA script PASS on the 5 live URLs; a test lead arrives tagged with its city.</t>
  </si>
  <si>
    <t>Publish P2</t>
  </si>
  <si>
    <t>Guntur and Kurnool (C-04); photos live (C-11); videos V1-V4 (C-12); QA; request indexing.</t>
  </si>
  <si>
    <t>C-04, C-11, C-12, C-14, C-16</t>
  </si>
  <si>
    <t>QA script PASS on 7 URLs.</t>
  </si>
  <si>
    <t>Arunachal + polish</t>
  </si>
  <si>
    <t>Arunachal hub and Itanagar &amp; Naharlagun page (C-15); switch on the 301s (C-10); Core Web Vitals (C-13); full QA.</t>
  </si>
  <si>
    <t>C-10, C-13, C-14, C-15</t>
  </si>
  <si>
    <t>QA script RESULT: PASS on all 9 URLs; all 301 tests pass.</t>
  </si>
  <si>
    <t>W6</t>
  </si>
  <si>
    <t>Review 1</t>
  </si>
  <si>
    <t>URL Inspection on all 9 URLs; fix any 'Crawled - currently not indexed' (usually weak internal links); compare impressions with the baseline below.</t>
  </si>
  <si>
    <t>Agency</t>
  </si>
  <si>
    <t>Indexing status recorded in tab 12 section D.</t>
  </si>
  <si>
    <t>W10</t>
  </si>
  <si>
    <t>Review 2</t>
  </si>
  <si>
    <t>Impressions, clicks, positions and RFQs by city against the KPIs below; decide whether to extend the template to the next industrial cities (small towns merge into state hubs).</t>
  </si>
  <si>
    <t>Agency, Client</t>
  </si>
  <si>
    <t>Written go / no-go on the next batch of cities.</t>
  </si>
  <si>
    <t>E. KPIs - baselines come live from tab 1; goals are goals, not forecasts</t>
  </si>
  <si>
    <t>Impressions goal (x baseline by month 3)</t>
  </si>
  <si>
    <t>Blue = assumption; change it and the goal column recalculates.</t>
  </si>
  <si>
    <t>Clicks goal (x baseline by month 3)</t>
  </si>
  <si>
    <t>KPI</t>
  </si>
  <si>
    <t>Baseline</t>
  </si>
  <si>
    <t>Goal</t>
  </si>
  <si>
    <t>Current (fill in)</t>
  </si>
  <si>
    <t>Where to measure</t>
  </si>
  <si>
    <t>URLs indexed (the 9 new / rebuilt pages)</t>
  </si>
  <si>
    <t>Unknown - check URL Inspection</t>
  </si>
  <si>
    <t>9 of 9 by W6</t>
  </si>
  <si>
    <t>Tab 12 section D / URL Inspection</t>
  </si>
  <si>
    <t>Impressions per month (city + hub URLs)</t>
  </si>
  <si>
    <t>GSC &gt; Performance &gt; Pages, filtered to the 9 URLs and the redirected towns</t>
  </si>
  <si>
    <t>Baseline = tab 1 total / months covered.</t>
  </si>
  <si>
    <t>Clicks per month</t>
  </si>
  <si>
    <t>Same GSC view</t>
  </si>
  <si>
    <t>Page-one positions: 'flange supplier in {city}' + 'flanges manufacturer in {city}' (12 keywords)</t>
  </si>
  <si>
    <t>0 of 12 - no Remax page in any of the 20 result sets (27 Sep 2026)</t>
  </si>
  <si>
    <t>4+ of 12 by month 3 - Guntur, Kurnool, Nellore and Itanagar first (weakest SERPs, tab 2)</t>
  </si>
  <si>
    <t>Rank tracker, or an incognito search set to the city</t>
  </si>
  <si>
    <t>RFQs from the 9 pages per month</t>
  </si>
  <si>
    <t>Not measured - no city tagging before C-05</t>
  </si>
  <si>
    <t>Measure from W2; set a target after 8 weeks of data</t>
  </si>
  <si>
    <t>GA4 /thank-you/ views by city; sales-inbox subject lines</t>
  </si>
  <si>
    <t>Honest counting beats a guessed target.</t>
  </si>
  <si>
    <t>RFQs answered within the promised time</t>
  </si>
  <si>
    <t>Not measured</t>
  </si>
  <si>
    <t>Sales inbox</t>
  </si>
  <si>
    <t>Phone / tel: / WhatsApp / telephone on the 9 pages</t>
  </si>
  <si>
    <t>Present on templates (daily log A-03)</t>
  </si>
  <si>
    <t>0 - QA script PASS after every deploy</t>
  </si>
  <si>
    <t>QA script (section B)</t>
  </si>
  <si>
    <t>Core Web Vitals (mobile)</t>
  </si>
  <si>
    <t>LCP &lt;= 2.5 s, INP &lt;= 200 ms, CLS &lt;= 0.1 on all 9 pages</t>
  </si>
  <si>
    <t>PageSpeed Insights; GSC Core Web Vitals report</t>
  </si>
  <si>
    <t>CollectionPage + BreadcrumbList + Service (state) + FAQPage.</t>
  </si>
  <si>
    <t>CollectionPage + BreadcrumbList. Drop this row if /market-area/ is not built (and remove that breadcrumb level everywhere).</t>
  </si>
  <si>
    <t>Validation before launch</t>
  </si>
  <si>
    <t>1. Paste each page's live URL into Google's Rich Results Test and validator.schema.org - zero errors.</t>
  </si>
  <si>
    <t>2. FAQ text in the JSON must match the visible FAQ word for word (it will, because both come from tab 9 - so never hand-edit the HTML FAQ without editing tab 9).</t>
  </si>
  <si>
    <t>3. FAQPage rarely earns rich results for commercial sites since 2023; it stays because it is cheap and helps machines (and AI answers) read the page. Remove only that node if the developer prefers.</t>
  </si>
  <si>
    <t>4. The formulas update themselves: after the client fills tab 15, re-copy column D. Characters must stay under 32,000 per cell.</t>
  </si>
  <si>
    <t>5. Acceptance: curl -s &lt;URL&gt; | grep -c '"telephone"'  → 0 on every page.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</si>
</sst>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0.0%"/>
    <numFmt numFmtId="166" formatCode="d\ mmm\ yyyy"/>
    <numFmt numFmtId="167" formatCode="0.000"/>
  </numFmts>
  <fonts count="19">
    <font>
      <sz val="11.0"/>
      <color theme="1"/>
      <name val="Calibri"/>
      <scheme val="minor"/>
    </font>
    <font>
      <b/>
      <sz val="14.0"/>
      <color rgb="FF1F3864"/>
      <name val="Arial"/>
    </font>
    <font>
      <i/>
      <sz val="10.0"/>
      <color rgb="FF595959"/>
      <name val="Arial"/>
    </font>
    <font>
      <b/>
      <sz val="10.0"/>
      <color rgb="FF000000"/>
      <name val="Arial"/>
    </font>
    <font>
      <b/>
      <sz val="10.0"/>
      <color rgb="FFFFFFFF"/>
      <name val="Arial"/>
    </font>
    <font>
      <b/>
      <sz val="11.0"/>
      <color rgb="FFFFFFFF"/>
      <name val="Arial"/>
    </font>
    <font>
      <sz val="10.0"/>
      <color rgb="FF000000"/>
      <name val="Arial"/>
    </font>
    <font/>
    <font>
      <sz val="10.0"/>
      <color rgb="FF0000FF"/>
      <name val="Arial"/>
    </font>
    <font>
      <b/>
      <sz val="11.0"/>
      <color rgb="FF1F3864"/>
      <name val="Arial"/>
    </font>
    <font>
      <sz val="11.0"/>
      <color theme="1"/>
      <name val="Calibri"/>
    </font>
    <font>
      <b/>
      <sz val="10.0"/>
      <color rgb="FF008000"/>
      <name val="Arial"/>
    </font>
    <font>
      <u/>
      <sz val="10.0"/>
      <color rgb="FF0563C1"/>
      <name val="Arial"/>
    </font>
    <font>
      <sz val="10.0"/>
      <color rgb="FF008000"/>
      <name val="Arial"/>
    </font>
    <font>
      <sz val="9.0"/>
      <color theme="1"/>
      <name val="Courier New"/>
    </font>
    <font>
      <sz val="8.0"/>
      <color theme="1"/>
      <name val="Courier New"/>
    </font>
    <font>
      <sz val="9.0"/>
      <color rgb="FF000000"/>
      <name val="Arial"/>
    </font>
    <font>
      <i/>
      <sz val="10.0"/>
      <color rgb="FF404040"/>
      <name val="Arial"/>
    </font>
    <font>
      <sz val="9.0"/>
      <color rgb="FF008000"/>
      <name val="Courier New"/>
    </font>
  </fonts>
  <fills count="14">
    <fill>
      <patternFill patternType="none"/>
    </fill>
    <fill>
      <patternFill patternType="lightGray"/>
    </fill>
    <fill>
      <patternFill patternType="solid">
        <fgColor rgb="FF1F3864"/>
        <bgColor rgb="FF1F3864"/>
      </patternFill>
    </fill>
    <fill>
      <patternFill patternType="solid">
        <fgColor rgb="FFC00000"/>
        <bgColor rgb="FFC00000"/>
      </patternFill>
    </fill>
    <fill>
      <patternFill patternType="solid">
        <fgColor rgb="FFD9E1F2"/>
        <bgColor rgb="FFD9E1F2"/>
      </patternFill>
    </fill>
    <fill>
      <patternFill patternType="solid">
        <fgColor rgb="FFFFFF00"/>
        <bgColor rgb="FFFFFF00"/>
      </patternFill>
    </fill>
    <fill>
      <patternFill patternType="solid">
        <fgColor rgb="FFE26B0A"/>
        <bgColor rgb="FFE26B0A"/>
      </patternFill>
    </fill>
    <fill>
      <patternFill patternType="solid">
        <fgColor rgb="FFFFC000"/>
        <bgColor rgb="FFFFC000"/>
      </patternFill>
    </fill>
    <fill>
      <patternFill patternType="solid">
        <fgColor rgb="FFBFBFBF"/>
        <bgColor rgb="FFBFBFBF"/>
      </patternFill>
    </fill>
    <fill>
      <patternFill patternType="solid">
        <fgColor rgb="FFFFF2CC"/>
        <bgColor rgb="FFFFF2CC"/>
      </patternFill>
    </fill>
    <fill>
      <patternFill patternType="solid">
        <fgColor rgb="FFE2EFDA"/>
        <bgColor rgb="FFE2EFDA"/>
      </patternFill>
    </fill>
    <fill>
      <patternFill patternType="solid">
        <fgColor rgb="FFF8CBAD"/>
        <bgColor rgb="FFF8CBAD"/>
      </patternFill>
    </fill>
    <fill>
      <patternFill patternType="solid">
        <fgColor rgb="FFF2F2F2"/>
        <bgColor rgb="FFF2F2F2"/>
      </patternFill>
    </fill>
    <fill>
      <patternFill patternType="solid">
        <fgColor rgb="FFEDEDED"/>
        <bgColor rgb="FFEDEDED"/>
      </patternFill>
    </fill>
  </fills>
  <borders count="6">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right/>
      <top/>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top" wrapText="0"/>
    </xf>
    <xf borderId="1" fillId="0" fontId="3" numFmtId="0" xfId="0" applyAlignment="1" applyBorder="1" applyFont="1">
      <alignment shrinkToFit="0" vertical="top" wrapText="1"/>
    </xf>
    <xf borderId="1" fillId="2" fontId="4" numFmtId="0" xfId="0" applyAlignment="1" applyBorder="1" applyFill="1" applyFont="1">
      <alignment shrinkToFit="0" vertical="center" wrapText="1"/>
    </xf>
    <xf borderId="2" fillId="3" fontId="5" numFmtId="0" xfId="0" applyAlignment="1" applyBorder="1" applyFill="1" applyFont="1">
      <alignment shrinkToFit="0" vertical="top" wrapText="1"/>
    </xf>
    <xf borderId="1" fillId="0" fontId="6" numFmtId="0" xfId="0" applyAlignment="1" applyBorder="1" applyFont="1">
      <alignment horizontal="center" shrinkToFit="0" vertical="top" wrapText="1"/>
    </xf>
    <xf borderId="3" fillId="0" fontId="7" numFmtId="0" xfId="0" applyBorder="1" applyFont="1"/>
    <xf borderId="1" fillId="0" fontId="6" numFmtId="0" xfId="0" applyAlignment="1" applyBorder="1" applyFont="1">
      <alignment shrinkToFit="0" vertical="top" wrapText="1"/>
    </xf>
    <xf borderId="4" fillId="0" fontId="7" numFmtId="0" xfId="0" applyBorder="1" applyFont="1"/>
    <xf borderId="1" fillId="0" fontId="8" numFmtId="164" xfId="0" applyAlignment="1" applyBorder="1" applyFont="1" applyNumberFormat="1">
      <alignment shrinkToFit="0" vertical="top" wrapText="1"/>
    </xf>
    <xf borderId="5" fillId="4" fontId="9" numFmtId="0" xfId="0" applyAlignment="1" applyBorder="1" applyFill="1" applyFont="1">
      <alignment shrinkToFit="0" vertical="bottom" wrapText="0"/>
    </xf>
    <xf borderId="5" fillId="4" fontId="10" numFmtId="0" xfId="0" applyAlignment="1" applyBorder="1" applyFill="1" applyFont="1">
      <alignment shrinkToFit="0" vertical="bottom" wrapText="0"/>
    </xf>
    <xf borderId="1" fillId="5" fontId="3" numFmtId="0" xfId="0" applyAlignment="1" applyBorder="1" applyFill="1" applyFont="1">
      <alignment shrinkToFit="0" vertical="top" wrapText="1"/>
    </xf>
    <xf borderId="1" fillId="0" fontId="11" numFmtId="3" xfId="0" applyAlignment="1" applyBorder="1" applyFont="1" applyNumberFormat="1">
      <alignment horizontal="left" shrinkToFit="0" vertical="top" wrapText="1"/>
    </xf>
    <xf borderId="2" fillId="0" fontId="6" numFmtId="0" xfId="0" applyAlignment="1" applyBorder="1" applyFont="1">
      <alignment shrinkToFit="0" vertical="top" wrapText="1"/>
    </xf>
    <xf borderId="1" fillId="0" fontId="8" numFmtId="1" xfId="0" applyAlignment="1" applyBorder="1" applyFont="1" applyNumberFormat="1">
      <alignment horizontal="center" shrinkToFit="0" vertical="top" wrapText="1"/>
    </xf>
    <xf borderId="1" fillId="0" fontId="11" numFmtId="164" xfId="0" applyAlignment="1" applyBorder="1" applyFont="1" applyNumberFormat="1">
      <alignment horizontal="left" shrinkToFit="0" vertical="top" wrapText="1"/>
    </xf>
    <xf borderId="1" fillId="0" fontId="6" numFmtId="1" xfId="0" applyAlignment="1" applyBorder="1" applyFont="1" applyNumberFormat="1">
      <alignment horizontal="center" shrinkToFit="0" vertical="top" wrapText="1"/>
    </xf>
    <xf borderId="1" fillId="0" fontId="11" numFmtId="0" xfId="0" applyAlignment="1" applyBorder="1" applyFont="1">
      <alignment horizontal="left" shrinkToFit="0" vertical="top" wrapText="1"/>
    </xf>
    <xf borderId="1" fillId="0" fontId="8" numFmtId="2" xfId="0" applyAlignment="1" applyBorder="1" applyFont="1" applyNumberFormat="1">
      <alignment horizontal="center" shrinkToFit="0" vertical="top" wrapText="1"/>
    </xf>
    <xf borderId="1" fillId="0" fontId="6" numFmtId="164" xfId="0" applyAlignment="1" applyBorder="1" applyFont="1" applyNumberFormat="1">
      <alignment horizontal="center" shrinkToFit="0" vertical="top" wrapText="1"/>
    </xf>
    <xf borderId="1" fillId="0" fontId="11" numFmtId="1" xfId="0" applyAlignment="1" applyBorder="1" applyFont="1" applyNumberFormat="1">
      <alignment horizontal="left" shrinkToFit="0" vertical="top" wrapText="1"/>
    </xf>
    <xf borderId="1" fillId="0" fontId="6" numFmtId="165" xfId="0" applyAlignment="1" applyBorder="1" applyFont="1" applyNumberFormat="1">
      <alignment horizontal="center" shrinkToFit="0" vertical="top" wrapText="1"/>
    </xf>
    <xf borderId="1" fillId="0" fontId="3" numFmtId="0" xfId="0" applyAlignment="1" applyBorder="1" applyFont="1">
      <alignment horizontal="center" shrinkToFit="0" vertical="top" wrapText="1"/>
    </xf>
    <xf borderId="1" fillId="6" fontId="4" numFmtId="0" xfId="0" applyAlignment="1" applyBorder="1" applyFill="1" applyFont="1">
      <alignment horizontal="center" shrinkToFit="0" vertical="top" wrapText="1"/>
    </xf>
    <xf borderId="1" fillId="7" fontId="3" numFmtId="0" xfId="0" applyAlignment="1" applyBorder="1" applyFill="1" applyFont="1">
      <alignment horizontal="center" shrinkToFit="0" vertical="top" wrapText="1"/>
    </xf>
    <xf borderId="0" fillId="0" fontId="6" numFmtId="0" xfId="0" applyAlignment="1" applyFont="1">
      <alignment horizontal="center" shrinkToFit="0" vertical="top" wrapText="1"/>
    </xf>
    <xf borderId="0" fillId="0" fontId="6" numFmtId="0" xfId="0" applyAlignment="1" applyFont="1">
      <alignment shrinkToFit="0" vertical="top" wrapText="1"/>
    </xf>
    <xf borderId="1" fillId="8" fontId="3" numFmtId="0" xfId="0" applyAlignment="1" applyBorder="1" applyFill="1" applyFont="1">
      <alignment horizontal="center" shrinkToFit="0" vertical="top" wrapText="1"/>
    </xf>
    <xf borderId="0" fillId="0" fontId="3" numFmtId="0" xfId="0" applyAlignment="1" applyFont="1">
      <alignment horizontal="center" shrinkToFit="0" vertical="top" wrapText="1"/>
    </xf>
    <xf borderId="1" fillId="0" fontId="6" numFmtId="164" xfId="0" applyAlignment="1" applyBorder="1" applyFont="1" applyNumberFormat="1">
      <alignment shrinkToFit="0" vertical="top" wrapText="1"/>
    </xf>
    <xf borderId="2" fillId="2" fontId="4" numFmtId="0" xfId="0" applyAlignment="1" applyBorder="1" applyFill="1" applyFont="1">
      <alignment shrinkToFit="0" vertical="center" wrapText="1"/>
    </xf>
    <xf borderId="1" fillId="0" fontId="12" numFmtId="0" xfId="0" applyAlignment="1" applyBorder="1" applyFont="1">
      <alignment shrinkToFit="0" vertical="top" wrapText="1"/>
    </xf>
    <xf borderId="1" fillId="0" fontId="3" numFmtId="1" xfId="0" applyAlignment="1" applyBorder="1" applyFont="1" applyNumberFormat="1">
      <alignment horizontal="center" shrinkToFit="0" vertical="top" wrapText="1"/>
    </xf>
    <xf borderId="1" fillId="0" fontId="3" numFmtId="164" xfId="0" applyAlignment="1" applyBorder="1" applyFont="1" applyNumberFormat="1">
      <alignment horizontal="center" shrinkToFit="0" vertical="top" wrapText="1"/>
    </xf>
    <xf borderId="1" fillId="0" fontId="3" numFmtId="165" xfId="0" applyAlignment="1" applyBorder="1" applyFont="1" applyNumberFormat="1">
      <alignment horizontal="center" shrinkToFit="0" vertical="top" wrapText="1"/>
    </xf>
    <xf borderId="1" fillId="5" fontId="6" numFmtId="0" xfId="0" applyAlignment="1" applyBorder="1" applyFill="1" applyFont="1">
      <alignment horizontal="center" shrinkToFit="0" vertical="top" wrapText="1"/>
    </xf>
    <xf borderId="1" fillId="9" fontId="6" numFmtId="0" xfId="0" applyAlignment="1" applyBorder="1" applyFill="1" applyFont="1">
      <alignment horizontal="center" shrinkToFit="0" vertical="top" wrapText="1"/>
    </xf>
    <xf borderId="1" fillId="0" fontId="8" numFmtId="0" xfId="0" applyAlignment="1" applyBorder="1" applyFont="1">
      <alignment horizontal="center" shrinkToFit="0" vertical="top" wrapText="1"/>
    </xf>
    <xf borderId="1" fillId="0" fontId="13" numFmtId="0" xfId="0" applyAlignment="1" applyBorder="1" applyFont="1">
      <alignment horizontal="center" shrinkToFit="0" vertical="top" wrapText="1"/>
    </xf>
    <xf borderId="1" fillId="10" fontId="6" numFmtId="0" xfId="0" applyAlignment="1" applyBorder="1" applyFill="1" applyFont="1">
      <alignment horizontal="center" shrinkToFit="0" vertical="top" wrapText="1"/>
    </xf>
    <xf borderId="1" fillId="11" fontId="6" numFmtId="0" xfId="0" applyAlignment="1" applyBorder="1" applyFill="1" applyFont="1">
      <alignment horizontal="center" shrinkToFit="0" vertical="top" wrapText="1"/>
    </xf>
    <xf borderId="1" fillId="0" fontId="8" numFmtId="3" xfId="0" applyAlignment="1" applyBorder="1" applyFont="1" applyNumberFormat="1">
      <alignment horizontal="center" shrinkToFit="0" vertical="top" wrapText="1"/>
    </xf>
    <xf borderId="1" fillId="0" fontId="13" numFmtId="3" xfId="0" applyAlignment="1" applyBorder="1" applyFont="1" applyNumberFormat="1">
      <alignment horizontal="center" shrinkToFit="0" vertical="top" wrapText="1"/>
    </xf>
    <xf borderId="1" fillId="12" fontId="6" numFmtId="0" xfId="0" applyAlignment="1" applyBorder="1" applyFill="1" applyFont="1">
      <alignment horizontal="center" shrinkToFit="0" vertical="top" wrapText="1"/>
    </xf>
    <xf borderId="1" fillId="0" fontId="13" numFmtId="0" xfId="0" applyAlignment="1" applyBorder="1" applyFont="1">
      <alignment shrinkToFit="0" vertical="top" wrapText="1"/>
    </xf>
    <xf borderId="0" fillId="0" fontId="14" numFmtId="0" xfId="0" applyAlignment="1" applyFont="1">
      <alignment shrinkToFit="0" vertical="top" wrapText="0"/>
    </xf>
    <xf borderId="1" fillId="0" fontId="15" numFmtId="0" xfId="0" applyAlignment="1" applyBorder="1" applyFont="1">
      <alignment shrinkToFit="0" vertical="top" wrapText="1"/>
    </xf>
    <xf borderId="1" fillId="0" fontId="6" numFmtId="3" xfId="0" applyAlignment="1" applyBorder="1" applyFont="1" applyNumberFormat="1">
      <alignment horizontal="center" shrinkToFit="0" vertical="top" wrapText="1"/>
    </xf>
    <xf borderId="1" fillId="0" fontId="14" numFmtId="0" xfId="0" applyAlignment="1" applyBorder="1" applyFont="1">
      <alignment shrinkToFit="0" vertical="top" wrapText="1"/>
    </xf>
    <xf borderId="1" fillId="5" fontId="6" numFmtId="166" xfId="0" applyAlignment="1" applyBorder="1" applyFill="1" applyFont="1" applyNumberFormat="1">
      <alignment horizontal="center" shrinkToFit="0" vertical="top" wrapText="1"/>
    </xf>
    <xf borderId="1" fillId="0" fontId="6" numFmtId="166" xfId="0" applyAlignment="1" applyBorder="1" applyFont="1" applyNumberFormat="1">
      <alignment horizontal="center" shrinkToFit="0" vertical="top" wrapText="1"/>
    </xf>
    <xf borderId="2" fillId="0" fontId="14" numFmtId="0" xfId="0" applyAlignment="1" applyBorder="1" applyFont="1">
      <alignment shrinkToFit="0" vertical="top" wrapText="1"/>
    </xf>
    <xf borderId="2" fillId="0" fontId="6" numFmtId="0" xfId="0" applyAlignment="1" applyBorder="1" applyFont="1">
      <alignment horizontal="center" shrinkToFit="0" vertical="top" wrapText="1"/>
    </xf>
    <xf borderId="2" fillId="0" fontId="3" numFmtId="0" xfId="0" applyAlignment="1" applyBorder="1" applyFont="1">
      <alignment shrinkToFit="0" vertical="top" wrapText="1"/>
    </xf>
    <xf borderId="1" fillId="0" fontId="8" numFmtId="164" xfId="0" applyAlignment="1" applyBorder="1" applyFont="1" applyNumberFormat="1">
      <alignment horizontal="center" shrinkToFit="0" vertical="top" wrapText="1"/>
    </xf>
    <xf borderId="0" fillId="0" fontId="2" numFmtId="0" xfId="0" applyAlignment="1" applyFont="1">
      <alignment shrinkToFit="0" vertical="top" wrapText="1"/>
    </xf>
    <xf borderId="1" fillId="13" fontId="2" numFmtId="0" xfId="0" applyAlignment="1" applyBorder="1" applyFill="1" applyFont="1">
      <alignment shrinkToFit="0" vertical="top" wrapText="1"/>
    </xf>
    <xf borderId="1" fillId="5" fontId="6" numFmtId="49" xfId="0" applyAlignment="1" applyBorder="1" applyFill="1" applyFont="1" applyNumberFormat="1">
      <alignment shrinkToFit="0" vertical="top" wrapText="1"/>
    </xf>
    <xf borderId="1" fillId="0" fontId="16" numFmtId="0" xfId="0" applyAlignment="1" applyBorder="1" applyFont="1">
      <alignment shrinkToFit="0" vertical="top" wrapText="1"/>
    </xf>
    <xf borderId="1" fillId="3" fontId="4" numFmtId="0" xfId="0" applyAlignment="1" applyBorder="1" applyFill="1" applyFont="1">
      <alignment horizontal="center" shrinkToFit="0" vertical="top" wrapText="1"/>
    </xf>
    <xf borderId="0" fillId="0" fontId="17" numFmtId="0" xfId="0" applyAlignment="1" applyFont="1">
      <alignment shrinkToFit="0" vertical="top" wrapText="0"/>
    </xf>
    <xf borderId="0" fillId="0" fontId="18" numFmtId="0" xfId="0" applyAlignment="1" applyFont="1">
      <alignment shrinkToFit="0" vertical="top" wrapText="0"/>
    </xf>
    <xf borderId="1" fillId="0" fontId="8" numFmtId="165" xfId="0" applyAlignment="1" applyBorder="1" applyFont="1" applyNumberFormat="1">
      <alignment horizontal="center" shrinkToFit="0" vertical="top" wrapText="1"/>
    </xf>
    <xf borderId="1" fillId="0" fontId="8" numFmtId="167" xfId="0" applyAlignment="1" applyBorder="1" applyFont="1" applyNumberFormat="1">
      <alignment horizontal="center" shrinkToFit="0" vertical="top" wrapText="1"/>
    </xf>
    <xf borderId="1" fillId="0" fontId="3" numFmtId="167" xfId="0" applyAlignment="1" applyBorder="1" applyFont="1" applyNumberFormat="1">
      <alignment horizontal="center" shrinkToFit="0" vertical="top" wrapText="1"/>
    </xf>
    <xf borderId="1" fillId="0" fontId="13" numFmtId="164" xfId="0" applyAlignment="1" applyBorder="1" applyFont="1" applyNumberFormat="1">
      <alignment horizontal="center" shrinkToFit="0" vertical="top" wrapText="1"/>
    </xf>
  </cellXfs>
  <cellStyles count="1">
    <cellStyle xfId="0" name="Normal" builtinId="0"/>
  </cellStyles>
  <dxfs count="4">
    <dxf>
      <font/>
      <fill>
        <patternFill patternType="solid">
          <fgColor rgb="FFE2EFDA"/>
          <bgColor rgb="FFE2EFDA"/>
        </patternFill>
      </fill>
      <border/>
    </dxf>
    <dxf>
      <font/>
      <fill>
        <patternFill patternType="solid">
          <fgColor rgb="FFF2F2F2"/>
          <bgColor rgb="FFF2F2F2"/>
        </patternFill>
      </fill>
      <border/>
    </dxf>
    <dxf>
      <font/>
      <fill>
        <patternFill patternType="solid">
          <fgColor rgb="FFF8CBAD"/>
          <bgColor rgb="FFF8CBAD"/>
        </patternFill>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workbookViewId="0"/>
  </sheetViews>
  <sheetFormatPr customHeight="1" defaultColWidth="14.43" defaultRowHeight="15.0"/>
  <cols>
    <col customWidth="1" min="1" max="1" width="5.0"/>
    <col customWidth="1" min="2" max="2" width="50.0"/>
    <col customWidth="1" min="3" max="3" width="44.0"/>
    <col customWidth="1" min="4" max="4" width="30.0"/>
    <col customWidth="1" min="5" max="6" width="26.0"/>
    <col customWidth="1" min="7" max="26" width="8.71"/>
  </cols>
  <sheetData>
    <row r="1" ht="21.75" customHeight="1">
      <c r="A1" s="1" t="s">
        <v>3</v>
      </c>
    </row>
    <row r="2">
      <c r="A2" s="2" t="s">
        <v>4</v>
      </c>
    </row>
    <row r="4" ht="33.75" customHeight="1">
      <c r="A4" s="5" t="s">
        <v>8</v>
      </c>
      <c r="B4" s="7"/>
      <c r="C4" s="7"/>
      <c r="D4" s="7"/>
      <c r="E4" s="7"/>
      <c r="F4" s="9"/>
    </row>
    <row r="6" ht="18.0" customHeight="1">
      <c r="A6" s="11" t="s">
        <v>43</v>
      </c>
      <c r="B6" s="12"/>
      <c r="C6" s="12"/>
      <c r="D6" s="12"/>
      <c r="E6" s="12"/>
      <c r="F6" s="12"/>
    </row>
    <row r="7" ht="15.0" customHeight="1">
      <c r="B7" s="3" t="s">
        <v>85</v>
      </c>
      <c r="C7" s="14">
        <f>'1. Decision Summary'!$G$18</f>
        <v>175</v>
      </c>
      <c r="D7" s="15" t="s">
        <v>141</v>
      </c>
      <c r="E7" s="7"/>
      <c r="F7" s="9"/>
    </row>
    <row r="8" ht="15.0" customHeight="1">
      <c r="B8" s="3" t="s">
        <v>156</v>
      </c>
      <c r="C8" s="14">
        <f>'1. Decision Summary'!$J$18</f>
        <v>5</v>
      </c>
      <c r="D8" s="15" t="s">
        <v>170</v>
      </c>
      <c r="E8" s="7"/>
      <c r="F8" s="9"/>
    </row>
    <row r="9" ht="15.0" customHeight="1">
      <c r="B9" s="3" t="s">
        <v>175</v>
      </c>
      <c r="C9" s="17">
        <f>'1. Decision Summary'!$G$19</f>
        <v>31.81818182</v>
      </c>
      <c r="D9" s="15" t="s">
        <v>170</v>
      </c>
      <c r="E9" s="7"/>
      <c r="F9" s="9"/>
    </row>
    <row r="10" ht="15.0" customHeight="1">
      <c r="B10" s="3" t="s">
        <v>190</v>
      </c>
      <c r="C10" s="19" t="str">
        <f>'1. Decision Summary'!$C$5</f>
        <v>Option A (recommended)</v>
      </c>
      <c r="D10" s="15" t="s">
        <v>191</v>
      </c>
      <c r="E10" s="7"/>
      <c r="F10" s="9"/>
    </row>
    <row r="11" ht="15.0" customHeight="1">
      <c r="B11" s="3" t="s">
        <v>192</v>
      </c>
      <c r="C11" s="19" t="str">
        <f>COUNTIF('6. On-Page Specs'!$Z$5:$Z$13,"READY")&amp;" of "&amp;ROWS('6. On-Page Specs'!$Z$5:$Z$13)</f>
        <v>0 of 9</v>
      </c>
      <c r="D11" s="15" t="s">
        <v>198</v>
      </c>
      <c r="E11" s="7"/>
      <c r="F11" s="9"/>
    </row>
    <row r="12" ht="23.25" customHeight="1">
      <c r="B12" s="3" t="s">
        <v>199</v>
      </c>
      <c r="C12" s="22">
        <f>SUM('6. On-Page Specs'!$Q$5:$Q$13)</f>
        <v>118</v>
      </c>
      <c r="D12" s="15" t="s">
        <v>201</v>
      </c>
      <c r="E12" s="7"/>
      <c r="F12" s="9"/>
    </row>
    <row r="13" ht="15.0" customHeight="1">
      <c r="B13" s="3" t="s">
        <v>203</v>
      </c>
      <c r="C13" s="19" t="str">
        <f>'15. Client Inputs'!$C$4</f>
        <v>40 of 40</v>
      </c>
      <c r="D13" s="15" t="s">
        <v>207</v>
      </c>
      <c r="E13" s="7"/>
      <c r="F13" s="9"/>
    </row>
    <row r="14" ht="15.0" customHeight="1">
      <c r="B14" s="3" t="s">
        <v>210</v>
      </c>
      <c r="C14" s="22">
        <f>'15. Client Inputs'!$C$5</f>
        <v>28</v>
      </c>
      <c r="D14" s="15" t="s">
        <v>207</v>
      </c>
      <c r="E14" s="7"/>
      <c r="F14" s="9"/>
    </row>
    <row r="15" ht="15.0" customHeight="1">
      <c r="B15" s="3" t="s">
        <v>216</v>
      </c>
      <c r="C15" s="19" t="str">
        <f>'16. Tests &amp; Rollout'!$C$25</f>
        <v>0 of 19</v>
      </c>
      <c r="D15" s="15" t="s">
        <v>217</v>
      </c>
      <c r="E15" s="7"/>
      <c r="F15" s="9"/>
    </row>
    <row r="16" ht="15.0" customHeight="1">
      <c r="B16" s="3" t="s">
        <v>218</v>
      </c>
      <c r="C16" s="22">
        <f>'16. Tests &amp; Rollout'!$C$26</f>
        <v>4</v>
      </c>
      <c r="D16" s="15" t="s">
        <v>223</v>
      </c>
      <c r="E16" s="7"/>
      <c r="F16" s="9"/>
    </row>
    <row r="17" ht="15.0" customHeight="1">
      <c r="B17" s="3" t="s">
        <v>226</v>
      </c>
      <c r="C17" s="19" t="str">
        <f>'13. Media Plan'!$I$21</f>
        <v>0 of 15</v>
      </c>
      <c r="D17" s="15" t="s">
        <v>228</v>
      </c>
      <c r="E17" s="7"/>
      <c r="F17" s="9"/>
    </row>
    <row r="18" ht="15.0" customHeight="1">
      <c r="B18" s="3" t="s">
        <v>233</v>
      </c>
      <c r="C18" s="19" t="str">
        <f>'17. Sources'!$C$68</f>
        <v>0 of 20</v>
      </c>
      <c r="D18" s="15" t="s">
        <v>236</v>
      </c>
      <c r="E18" s="7"/>
      <c r="F18" s="9"/>
    </row>
    <row r="20" ht="18.0" customHeight="1">
      <c r="A20" s="11" t="s">
        <v>240</v>
      </c>
      <c r="B20" s="12"/>
      <c r="C20" s="12"/>
      <c r="D20" s="12"/>
      <c r="E20" s="12"/>
      <c r="F20" s="12"/>
    </row>
    <row r="21" ht="30.0" customHeight="1">
      <c r="A21" s="27">
        <v>1.0</v>
      </c>
      <c r="B21" s="28" t="s">
        <v>243</v>
      </c>
    </row>
    <row r="22" ht="30.0" customHeight="1">
      <c r="A22" s="27">
        <v>2.0</v>
      </c>
      <c r="B22" s="28" t="s">
        <v>246</v>
      </c>
    </row>
    <row r="23" ht="30.0" customHeight="1">
      <c r="A23" s="27">
        <v>3.0</v>
      </c>
      <c r="B23" s="28" t="s">
        <v>247</v>
      </c>
    </row>
    <row r="24" ht="30.0" customHeight="1">
      <c r="A24" s="27">
        <v>4.0</v>
      </c>
      <c r="B24" s="28" t="s">
        <v>251</v>
      </c>
    </row>
    <row r="25" ht="30.0" customHeight="1">
      <c r="A25" s="27">
        <v>5.0</v>
      </c>
      <c r="B25" s="28" t="str">
        <f>"Keep perspective: the 10 URLs earned "&amp;TEXT('1. Decision Summary'!$G$18,"0")&amp;" impressions and "&amp;TEXT('1. Decision Summary'!$J$18,"0")&amp;" clicks in about "&amp;TEXT('1. Decision Summary'!$C$4,"0.0")&amp;" months. The biggest lead lever is still the 53 flange product pages, only 2 of them indexed (daily log A-64) - ship C-01 and C-02 first."</f>
        <v>Keep perspective: the 10 URLs earned 175 impressions and 5 clicks in about 5.5 months. The biggest lead lever is still the 53 flange product pages, only 2 of them indexed (daily log A-64) - ship C-01 and C-02 first.</v>
      </c>
    </row>
    <row r="26" ht="15.75" customHeight="1"/>
    <row r="27" ht="18.0" customHeight="1">
      <c r="A27" s="11" t="s">
        <v>257</v>
      </c>
      <c r="B27" s="12"/>
      <c r="C27" s="12"/>
      <c r="D27" s="12"/>
      <c r="E27" s="12"/>
      <c r="F27" s="12"/>
    </row>
    <row r="28" ht="30.0" customHeight="1">
      <c r="A28" s="30">
        <v>1.0</v>
      </c>
      <c r="B28" s="28" t="s">
        <v>258</v>
      </c>
    </row>
    <row r="29" ht="30.0" customHeight="1">
      <c r="A29" s="30">
        <v>2.0</v>
      </c>
      <c r="B29" s="28" t="s">
        <v>259</v>
      </c>
    </row>
    <row r="30" ht="30.0" customHeight="1">
      <c r="A30" s="30">
        <v>3.0</v>
      </c>
      <c r="B30" s="28" t="s">
        <v>260</v>
      </c>
    </row>
    <row r="31" ht="30.0" customHeight="1">
      <c r="A31" s="30">
        <v>4.0</v>
      </c>
      <c r="B31" s="28" t="s">
        <v>261</v>
      </c>
    </row>
    <row r="32" ht="30.0" customHeight="1">
      <c r="A32" s="30">
        <v>5.0</v>
      </c>
      <c r="B32" s="28" t="s">
        <v>263</v>
      </c>
    </row>
    <row r="33" ht="30.0" customHeight="1">
      <c r="A33" s="30">
        <v>6.0</v>
      </c>
      <c r="B33" s="28" t="s">
        <v>266</v>
      </c>
    </row>
    <row r="34" ht="15.75" customHeight="1"/>
    <row r="35" ht="18.0" customHeight="1">
      <c r="A35" s="11" t="s">
        <v>267</v>
      </c>
      <c r="B35" s="12"/>
      <c r="C35" s="12"/>
      <c r="D35" s="12"/>
      <c r="E35" s="12"/>
      <c r="F35" s="12"/>
    </row>
    <row r="36" ht="19.5" customHeight="1">
      <c r="B36" s="4" t="s">
        <v>269</v>
      </c>
      <c r="C36" s="32" t="s">
        <v>270</v>
      </c>
      <c r="D36" s="9"/>
      <c r="E36" s="32" t="s">
        <v>271</v>
      </c>
      <c r="F36" s="9"/>
    </row>
    <row r="37" ht="15.0" customHeight="1">
      <c r="B37" s="33" t="s">
        <v>272</v>
      </c>
      <c r="C37" s="15" t="s">
        <v>275</v>
      </c>
      <c r="D37" s="9"/>
      <c r="E37" s="15" t="s">
        <v>276</v>
      </c>
      <c r="F37" s="9"/>
    </row>
    <row r="38" ht="15.0" customHeight="1">
      <c r="B38" s="33" t="s">
        <v>279</v>
      </c>
      <c r="C38" s="15" t="s">
        <v>283</v>
      </c>
      <c r="D38" s="9"/>
      <c r="E38" s="15" t="s">
        <v>287</v>
      </c>
      <c r="F38" s="9"/>
    </row>
    <row r="39" ht="15.0" customHeight="1">
      <c r="B39" s="33" t="s">
        <v>290</v>
      </c>
      <c r="C39" s="15" t="s">
        <v>301</v>
      </c>
      <c r="D39" s="9"/>
      <c r="E39" s="15" t="s">
        <v>287</v>
      </c>
      <c r="F39" s="9"/>
    </row>
    <row r="40" ht="15.0" customHeight="1">
      <c r="B40" s="33" t="s">
        <v>317</v>
      </c>
      <c r="C40" s="15" t="s">
        <v>323</v>
      </c>
      <c r="D40" s="9"/>
      <c r="E40" s="15" t="s">
        <v>327</v>
      </c>
      <c r="F40" s="9"/>
    </row>
    <row r="41" ht="15.0" customHeight="1">
      <c r="B41" s="33" t="s">
        <v>337</v>
      </c>
      <c r="C41" s="15" t="s">
        <v>343</v>
      </c>
      <c r="D41" s="9"/>
      <c r="E41" s="15" t="s">
        <v>327</v>
      </c>
      <c r="F41" s="9"/>
    </row>
    <row r="42" ht="15.0" customHeight="1">
      <c r="B42" s="33" t="s">
        <v>357</v>
      </c>
      <c r="C42" s="15" t="s">
        <v>366</v>
      </c>
      <c r="D42" s="9"/>
      <c r="E42" s="15" t="s">
        <v>372</v>
      </c>
      <c r="F42" s="9"/>
    </row>
    <row r="43" ht="15.0" customHeight="1">
      <c r="B43" s="33" t="s">
        <v>374</v>
      </c>
      <c r="C43" s="15" t="s">
        <v>375</v>
      </c>
      <c r="D43" s="9"/>
      <c r="E43" s="15" t="s">
        <v>377</v>
      </c>
      <c r="F43" s="9"/>
    </row>
    <row r="44" ht="15.0" customHeight="1">
      <c r="B44" s="33" t="s">
        <v>379</v>
      </c>
      <c r="C44" s="15" t="s">
        <v>381</v>
      </c>
      <c r="D44" s="9"/>
      <c r="E44" s="15" t="s">
        <v>377</v>
      </c>
      <c r="F44" s="9"/>
    </row>
    <row r="45" ht="15.0" customHeight="1">
      <c r="B45" s="33" t="s">
        <v>383</v>
      </c>
      <c r="C45" s="15" t="s">
        <v>386</v>
      </c>
      <c r="D45" s="9"/>
      <c r="E45" s="15" t="s">
        <v>377</v>
      </c>
      <c r="F45" s="9"/>
    </row>
    <row r="46" ht="15.0" customHeight="1">
      <c r="B46" s="33" t="s">
        <v>387</v>
      </c>
      <c r="C46" s="15" t="s">
        <v>388</v>
      </c>
      <c r="D46" s="9"/>
      <c r="E46" s="15" t="s">
        <v>377</v>
      </c>
      <c r="F46" s="9"/>
    </row>
    <row r="47" ht="15.0" customHeight="1">
      <c r="B47" s="33" t="s">
        <v>390</v>
      </c>
      <c r="C47" s="15" t="s">
        <v>391</v>
      </c>
      <c r="D47" s="9"/>
      <c r="E47" s="15" t="s">
        <v>377</v>
      </c>
      <c r="F47" s="9"/>
    </row>
    <row r="48" ht="15.0" customHeight="1">
      <c r="B48" s="33" t="s">
        <v>393</v>
      </c>
      <c r="C48" s="15" t="s">
        <v>394</v>
      </c>
      <c r="D48" s="9"/>
      <c r="E48" s="15" t="s">
        <v>377</v>
      </c>
      <c r="F48" s="9"/>
    </row>
    <row r="49" ht="15.0" customHeight="1">
      <c r="B49" s="33" t="s">
        <v>395</v>
      </c>
      <c r="C49" s="15" t="s">
        <v>396</v>
      </c>
      <c r="D49" s="9"/>
      <c r="E49" s="15" t="s">
        <v>372</v>
      </c>
      <c r="F49" s="9"/>
    </row>
    <row r="50" ht="15.0" customHeight="1">
      <c r="B50" s="33" t="s">
        <v>397</v>
      </c>
      <c r="C50" s="15" t="s">
        <v>400</v>
      </c>
      <c r="D50" s="9"/>
      <c r="E50" s="15" t="s">
        <v>402</v>
      </c>
      <c r="F50" s="9"/>
    </row>
    <row r="51" ht="15.0" customHeight="1">
      <c r="B51" s="33" t="s">
        <v>404</v>
      </c>
      <c r="C51" s="15" t="s">
        <v>405</v>
      </c>
      <c r="D51" s="9"/>
      <c r="E51" s="15" t="s">
        <v>406</v>
      </c>
      <c r="F51" s="9"/>
    </row>
    <row r="52" ht="15.0" customHeight="1">
      <c r="B52" s="33" t="s">
        <v>407</v>
      </c>
      <c r="C52" s="15" t="s">
        <v>408</v>
      </c>
      <c r="D52" s="9"/>
      <c r="E52" s="15" t="s">
        <v>409</v>
      </c>
      <c r="F52" s="9"/>
    </row>
    <row r="53" ht="15.0" customHeight="1">
      <c r="B53" s="33" t="s">
        <v>410</v>
      </c>
      <c r="C53" s="15" t="s">
        <v>411</v>
      </c>
      <c r="D53" s="9"/>
      <c r="E53" s="15" t="s">
        <v>372</v>
      </c>
      <c r="F53" s="9"/>
    </row>
    <row r="54" ht="15.0" customHeight="1">
      <c r="B54" s="33" t="s">
        <v>412</v>
      </c>
      <c r="C54" s="15" t="s">
        <v>413</v>
      </c>
      <c r="D54" s="9"/>
      <c r="E54" s="15" t="s">
        <v>287</v>
      </c>
      <c r="F54" s="9"/>
    </row>
    <row r="55" ht="15.75" customHeight="1"/>
    <row r="56" ht="18.0" customHeight="1">
      <c r="A56" s="11" t="s">
        <v>414</v>
      </c>
      <c r="B56" s="12"/>
      <c r="C56" s="12"/>
      <c r="D56" s="12"/>
      <c r="E56" s="12"/>
      <c r="F56" s="12"/>
    </row>
    <row r="57" ht="15.0" customHeight="1">
      <c r="B57" s="37" t="s">
        <v>415</v>
      </c>
      <c r="C57" s="28" t="s">
        <v>416</v>
      </c>
    </row>
    <row r="58" ht="15.0" customHeight="1">
      <c r="B58" s="38" t="s">
        <v>415</v>
      </c>
      <c r="C58" s="28" t="s">
        <v>417</v>
      </c>
    </row>
    <row r="59" ht="15.0" customHeight="1">
      <c r="B59" s="39" t="s">
        <v>415</v>
      </c>
      <c r="C59" s="28" t="s">
        <v>418</v>
      </c>
    </row>
    <row r="60" ht="15.0" customHeight="1">
      <c r="B60" s="40" t="s">
        <v>415</v>
      </c>
      <c r="C60" s="28" t="s">
        <v>419</v>
      </c>
    </row>
    <row r="61" ht="15.0" customHeight="1">
      <c r="B61" s="41" t="s">
        <v>415</v>
      </c>
      <c r="C61" s="28" t="s">
        <v>420</v>
      </c>
    </row>
    <row r="62" ht="15.0" customHeight="1">
      <c r="B62" s="42" t="s">
        <v>415</v>
      </c>
      <c r="C62" s="28" t="s">
        <v>421</v>
      </c>
    </row>
    <row r="63" ht="15.0" customHeight="1">
      <c r="B63" s="24" t="s">
        <v>422</v>
      </c>
      <c r="C63" s="28" t="s">
        <v>423</v>
      </c>
    </row>
    <row r="64" ht="15.75" customHeight="1"/>
    <row r="65" ht="18.0" customHeight="1">
      <c r="A65" s="11" t="s">
        <v>424</v>
      </c>
      <c r="B65" s="12"/>
      <c r="C65" s="12"/>
      <c r="D65" s="12"/>
      <c r="E65" s="12"/>
      <c r="F65" s="12"/>
    </row>
    <row r="66" ht="18.0" customHeight="1">
      <c r="A66" s="27" t="s">
        <v>425</v>
      </c>
      <c r="B66" s="28" t="s">
        <v>426</v>
      </c>
    </row>
    <row r="67" ht="18.0" customHeight="1">
      <c r="A67" s="27" t="s">
        <v>425</v>
      </c>
      <c r="B67" s="28" t="s">
        <v>427</v>
      </c>
    </row>
    <row r="68" ht="18.0" customHeight="1">
      <c r="A68" s="27" t="s">
        <v>425</v>
      </c>
      <c r="B68" s="28" t="s">
        <v>428</v>
      </c>
    </row>
    <row r="69" ht="18.0" customHeight="1">
      <c r="A69" s="27" t="s">
        <v>425</v>
      </c>
      <c r="B69" s="28" t="s">
        <v>429</v>
      </c>
    </row>
    <row r="70" ht="18.0" customHeight="1">
      <c r="A70" s="27" t="s">
        <v>425</v>
      </c>
      <c r="B70" s="28" t="s">
        <v>430</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4">
    <mergeCell ref="E49:F49"/>
    <mergeCell ref="E50:F50"/>
    <mergeCell ref="E42:F42"/>
    <mergeCell ref="E43:F43"/>
    <mergeCell ref="E44:F44"/>
    <mergeCell ref="E45:F45"/>
    <mergeCell ref="E46:F46"/>
    <mergeCell ref="E47:F47"/>
    <mergeCell ref="E48:F48"/>
    <mergeCell ref="C53:D53"/>
    <mergeCell ref="E53:F53"/>
    <mergeCell ref="C54:D54"/>
    <mergeCell ref="E54:F54"/>
    <mergeCell ref="C57:F57"/>
    <mergeCell ref="C58:F58"/>
    <mergeCell ref="C59:F59"/>
    <mergeCell ref="B69:F69"/>
    <mergeCell ref="B70:F70"/>
    <mergeCell ref="C60:F60"/>
    <mergeCell ref="C61:F61"/>
    <mergeCell ref="C62:F62"/>
    <mergeCell ref="C63:F63"/>
    <mergeCell ref="B66:F66"/>
    <mergeCell ref="B67:F67"/>
    <mergeCell ref="B68:F68"/>
    <mergeCell ref="A4:F4"/>
    <mergeCell ref="D7:F7"/>
    <mergeCell ref="D8:F8"/>
    <mergeCell ref="D9:F9"/>
    <mergeCell ref="D10:F10"/>
    <mergeCell ref="D11:F11"/>
    <mergeCell ref="D12:F12"/>
    <mergeCell ref="D13:F13"/>
    <mergeCell ref="D14:F14"/>
    <mergeCell ref="D15:F15"/>
    <mergeCell ref="D16:F16"/>
    <mergeCell ref="D17:F17"/>
    <mergeCell ref="D18:F18"/>
    <mergeCell ref="B21:F21"/>
    <mergeCell ref="B22:F22"/>
    <mergeCell ref="B23:F23"/>
    <mergeCell ref="B24:F24"/>
    <mergeCell ref="B25:F25"/>
    <mergeCell ref="B28:F28"/>
    <mergeCell ref="B29:F29"/>
    <mergeCell ref="B30:F30"/>
    <mergeCell ref="B31:F31"/>
    <mergeCell ref="B32:F32"/>
    <mergeCell ref="B33:F33"/>
    <mergeCell ref="C36:D36"/>
    <mergeCell ref="E36:F36"/>
    <mergeCell ref="C37:D37"/>
    <mergeCell ref="E37:F37"/>
    <mergeCell ref="C38:D38"/>
    <mergeCell ref="E38:F38"/>
    <mergeCell ref="C39:D39"/>
    <mergeCell ref="E39:F39"/>
    <mergeCell ref="C40:D40"/>
    <mergeCell ref="E40:F40"/>
    <mergeCell ref="E41:F41"/>
    <mergeCell ref="C41:D41"/>
    <mergeCell ref="C42:D42"/>
    <mergeCell ref="C43:D43"/>
    <mergeCell ref="C44:D44"/>
    <mergeCell ref="C45:D45"/>
    <mergeCell ref="C46:D46"/>
    <mergeCell ref="C47:D47"/>
    <mergeCell ref="C48:D48"/>
    <mergeCell ref="C49:D49"/>
    <mergeCell ref="C50:D50"/>
    <mergeCell ref="C51:D51"/>
    <mergeCell ref="E51:F51"/>
    <mergeCell ref="C52:D52"/>
    <mergeCell ref="E52:F52"/>
  </mergeCells>
  <hyperlinks>
    <hyperlink display="1. Decision Summary" location="'1. Decision Summary'!A1" ref="B37"/>
    <hyperlink display="2. SERP Benchmark" location="'2. SERP Benchmark'!A1" ref="B38"/>
    <hyperlink display="3. Competitor Patterns" location="'3. Competitor Patterns'!A1" ref="B39"/>
    <hyperlink display="4. Viraj &amp; Sagar Benchmark" location="'4. Viraj &amp; Sagar Benchmark'!A1" ref="B40"/>
    <hyperlink display="5. Keyword Map" location="'5. Keyword Map'!A1" ref="B41"/>
    <hyperlink display="6. On-Page Specs" location="'6. On-Page Specs'!A1" ref="B42"/>
    <hyperlink display="7. Page Template (Dev)" location="'7. Page Template (Dev)'!A1" ref="B43"/>
    <hyperlink display="8. City Content (Paste)" location="'8. City Content (Paste)'!A1" ref="B44"/>
    <hyperlink display="8b. Page Tables (Paste)" location="'8b. Page Tables (Paste)'!A1" ref="B45"/>
    <hyperlink display="9. FAQs (Paste)" location="'9. FAQs (Paste)'!A1" ref="B46"/>
    <hyperlink display="10. Lead Capture Forms" location="'10. Lead Capture Forms'!A1" ref="B47"/>
    <hyperlink display="11. Schema JSON-LD" location="'11. Schema JSON-LD'!A1" ref="B48"/>
    <hyperlink display="12. Links-Redirects-Index" location="'12. Links-Redirects-Index'!A1" ref="B49"/>
    <hyperlink display="13. Media Plan" location="'13. Media Plan'!A1" ref="B50"/>
    <hyperlink display="14. Reference Data" location="'14. Reference Data'!A1" ref="B51"/>
    <hyperlink display="15. Client Inputs" location="'15. Client Inputs'!A1" ref="B52"/>
    <hyperlink display="16. Tests &amp; Rollout" location="'16. Tests &amp; Rollout'!A1" ref="B53"/>
    <hyperlink display="17. Sources" location="'17. Sources'!A1" ref="B54"/>
  </hyperlinks>
  <printOptions/>
  <pageMargins bottom="1.0" footer="0.0" header="0.0" left="0.75" right="0.75" top="1.0"/>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7.0" topLeftCell="C8" activePane="bottomRight" state="frozen"/>
      <selection activeCell="C1" sqref="C1" pane="topRight"/>
      <selection activeCell="A8" sqref="A8" pane="bottomLeft"/>
      <selection activeCell="C8" sqref="C8" pane="bottomRight"/>
    </sheetView>
  </sheetViews>
  <sheetFormatPr customHeight="1" defaultColWidth="14.43" defaultRowHeight="15.0"/>
  <cols>
    <col customWidth="1" min="1" max="1" width="4.0"/>
    <col customWidth="1" min="2" max="2" width="16.0"/>
    <col customWidth="1" min="3" max="3" width="15.0"/>
    <col customWidth="1" min="4" max="4" width="17.0"/>
    <col customWidth="1" min="5" max="12" width="9.0"/>
    <col customWidth="1" min="13" max="14" width="10.0"/>
    <col customWidth="1" min="15" max="15" width="9.0"/>
    <col customWidth="1" min="16" max="16" width="26.0"/>
    <col customWidth="1" min="17" max="17" width="30.0"/>
    <col customWidth="1" min="18" max="18" width="8.0"/>
    <col customWidth="1" min="19" max="19" width="70.0"/>
    <col customWidth="1" min="20" max="26" width="8.71"/>
  </cols>
  <sheetData>
    <row r="1" ht="21.75" customHeight="1">
      <c r="A1" s="1" t="s">
        <v>0</v>
      </c>
    </row>
    <row r="2">
      <c r="A2" s="2" t="s">
        <v>5</v>
      </c>
    </row>
    <row r="4" ht="30.0" customHeight="1">
      <c r="B4" s="3" t="s">
        <v>7</v>
      </c>
      <c r="C4" s="10">
        <v>5.5</v>
      </c>
      <c r="D4" s="8" t="s">
        <v>59</v>
      </c>
    </row>
    <row r="5" ht="42.0" customHeight="1">
      <c r="B5" s="3" t="s">
        <v>71</v>
      </c>
      <c r="C5" s="13" t="s">
        <v>95</v>
      </c>
      <c r="D5" s="8" t="s">
        <v>107</v>
      </c>
    </row>
    <row r="7" ht="42.0" customHeight="1">
      <c r="A7" s="4" t="s">
        <v>9</v>
      </c>
      <c r="B7" s="4" t="s">
        <v>13</v>
      </c>
      <c r="C7" s="4" t="s">
        <v>125</v>
      </c>
      <c r="D7" s="4" t="s">
        <v>129</v>
      </c>
      <c r="E7" s="4" t="s">
        <v>132</v>
      </c>
      <c r="F7" s="4" t="s">
        <v>136</v>
      </c>
      <c r="G7" s="4" t="s">
        <v>138</v>
      </c>
      <c r="H7" s="4" t="s">
        <v>139</v>
      </c>
      <c r="I7" s="4" t="s">
        <v>143</v>
      </c>
      <c r="J7" s="4" t="s">
        <v>145</v>
      </c>
      <c r="K7" s="4" t="s">
        <v>148</v>
      </c>
      <c r="L7" s="4" t="s">
        <v>149</v>
      </c>
      <c r="M7" s="4" t="s">
        <v>150</v>
      </c>
      <c r="N7" s="4" t="s">
        <v>153</v>
      </c>
      <c r="O7" s="4" t="s">
        <v>155</v>
      </c>
      <c r="P7" s="4" t="s">
        <v>158</v>
      </c>
      <c r="Q7" s="4" t="s">
        <v>161</v>
      </c>
      <c r="R7" s="4" t="s">
        <v>163</v>
      </c>
      <c r="S7" s="4" t="s">
        <v>164</v>
      </c>
    </row>
    <row r="8" ht="40.5" customHeight="1">
      <c r="A8" s="6">
        <v>1.0</v>
      </c>
      <c r="B8" s="3" t="s">
        <v>25</v>
      </c>
      <c r="C8" s="8" t="s">
        <v>168</v>
      </c>
      <c r="D8" s="8" t="s">
        <v>42</v>
      </c>
      <c r="E8" s="16">
        <v>25.0</v>
      </c>
      <c r="F8" s="16">
        <v>30.0</v>
      </c>
      <c r="G8" s="18">
        <f t="shared" ref="G8:G17" si="1">SUM(E8:F8)</f>
        <v>55</v>
      </c>
      <c r="H8" s="16">
        <v>2.0</v>
      </c>
      <c r="I8" s="16">
        <v>0.0</v>
      </c>
      <c r="J8" s="18">
        <f t="shared" ref="J8:J17" si="2">SUM(H8:I8)</f>
        <v>2</v>
      </c>
      <c r="K8" s="20">
        <v>4.16</v>
      </c>
      <c r="L8" s="20">
        <v>6.37</v>
      </c>
      <c r="M8" s="21">
        <f t="shared" ref="M8:M17" si="3">IFERROR((N(E8)*N(K8)+N(F8)*N(L8))/(N(E8)+N(F8)),"")</f>
        <v>5.365454545</v>
      </c>
      <c r="N8" s="23">
        <f t="shared" ref="N8:N17" si="4">IF($G$18=0,0,G8/$G$18)</f>
        <v>0.3142857143</v>
      </c>
      <c r="O8" s="24" t="s">
        <v>208</v>
      </c>
      <c r="P8" s="8" t="s">
        <v>209</v>
      </c>
      <c r="Q8" s="8" t="s">
        <v>42</v>
      </c>
      <c r="R8" s="25" t="s">
        <v>211</v>
      </c>
      <c r="S8" s="8" t="s">
        <v>212</v>
      </c>
    </row>
    <row r="9" ht="40.5" customHeight="1">
      <c r="A9" s="6">
        <v>2.0</v>
      </c>
      <c r="B9" s="3" t="s">
        <v>61</v>
      </c>
      <c r="C9" s="8" t="s">
        <v>168</v>
      </c>
      <c r="D9" s="8" t="s">
        <v>75</v>
      </c>
      <c r="E9" s="16">
        <v>13.0</v>
      </c>
      <c r="F9" s="16">
        <v>4.0</v>
      </c>
      <c r="G9" s="18">
        <f t="shared" si="1"/>
        <v>17</v>
      </c>
      <c r="H9" s="16">
        <v>1.0</v>
      </c>
      <c r="I9" s="16">
        <v>0.0</v>
      </c>
      <c r="J9" s="18">
        <f t="shared" si="2"/>
        <v>1</v>
      </c>
      <c r="K9" s="20">
        <v>5.0</v>
      </c>
      <c r="L9" s="20">
        <v>6.0</v>
      </c>
      <c r="M9" s="21">
        <f t="shared" si="3"/>
        <v>5.235294118</v>
      </c>
      <c r="N9" s="23">
        <f t="shared" si="4"/>
        <v>0.09714285714</v>
      </c>
      <c r="O9" s="24" t="s">
        <v>225</v>
      </c>
      <c r="P9" s="8" t="s">
        <v>209</v>
      </c>
      <c r="Q9" s="8" t="s">
        <v>75</v>
      </c>
      <c r="R9" s="25" t="s">
        <v>211</v>
      </c>
      <c r="S9" s="8" t="s">
        <v>227</v>
      </c>
    </row>
    <row r="10" ht="27.75" customHeight="1">
      <c r="A10" s="6">
        <v>3.0</v>
      </c>
      <c r="B10" s="3" t="s">
        <v>92</v>
      </c>
      <c r="C10" s="8" t="s">
        <v>168</v>
      </c>
      <c r="D10" s="8" t="s">
        <v>106</v>
      </c>
      <c r="E10" s="16">
        <v>16.0</v>
      </c>
      <c r="F10" s="16">
        <v>5.0</v>
      </c>
      <c r="G10" s="18">
        <f t="shared" si="1"/>
        <v>21</v>
      </c>
      <c r="H10" s="16">
        <v>0.0</v>
      </c>
      <c r="I10" s="16">
        <v>0.0</v>
      </c>
      <c r="J10" s="18">
        <f t="shared" si="2"/>
        <v>0</v>
      </c>
      <c r="K10" s="20">
        <v>3.75</v>
      </c>
      <c r="L10" s="20">
        <v>6.4</v>
      </c>
      <c r="M10" s="21">
        <f t="shared" si="3"/>
        <v>4.380952381</v>
      </c>
      <c r="N10" s="23">
        <f t="shared" si="4"/>
        <v>0.12</v>
      </c>
      <c r="O10" s="24" t="s">
        <v>225</v>
      </c>
      <c r="P10" s="8" t="s">
        <v>209</v>
      </c>
      <c r="Q10" s="8" t="s">
        <v>106</v>
      </c>
      <c r="R10" s="26" t="s">
        <v>230</v>
      </c>
      <c r="S10" s="8" t="s">
        <v>234</v>
      </c>
    </row>
    <row r="11" ht="27.75" customHeight="1">
      <c r="A11" s="6">
        <v>4.0</v>
      </c>
      <c r="B11" s="3" t="s">
        <v>126</v>
      </c>
      <c r="C11" s="8" t="s">
        <v>168</v>
      </c>
      <c r="D11" s="8" t="s">
        <v>137</v>
      </c>
      <c r="E11" s="16">
        <v>15.0</v>
      </c>
      <c r="F11" s="16">
        <v>6.0</v>
      </c>
      <c r="G11" s="18">
        <f t="shared" si="1"/>
        <v>21</v>
      </c>
      <c r="H11" s="16">
        <v>1.0</v>
      </c>
      <c r="I11" s="16">
        <v>0.0</v>
      </c>
      <c r="J11" s="18">
        <f t="shared" si="2"/>
        <v>1</v>
      </c>
      <c r="K11" s="20">
        <v>2.6</v>
      </c>
      <c r="L11" s="20">
        <v>4.83</v>
      </c>
      <c r="M11" s="21">
        <f t="shared" si="3"/>
        <v>3.237142857</v>
      </c>
      <c r="N11" s="23">
        <f t="shared" si="4"/>
        <v>0.12</v>
      </c>
      <c r="O11" s="24" t="s">
        <v>225</v>
      </c>
      <c r="P11" s="8" t="s">
        <v>209</v>
      </c>
      <c r="Q11" s="8" t="s">
        <v>137</v>
      </c>
      <c r="R11" s="25" t="s">
        <v>211</v>
      </c>
      <c r="S11" s="8" t="s">
        <v>237</v>
      </c>
    </row>
    <row r="12" ht="27.75" customHeight="1">
      <c r="A12" s="6">
        <v>5.0</v>
      </c>
      <c r="B12" s="3" t="s">
        <v>151</v>
      </c>
      <c r="C12" s="8" t="s">
        <v>168</v>
      </c>
      <c r="D12" s="8" t="s">
        <v>165</v>
      </c>
      <c r="E12" s="16">
        <v>4.0</v>
      </c>
      <c r="F12" s="16">
        <v>4.0</v>
      </c>
      <c r="G12" s="18">
        <f t="shared" si="1"/>
        <v>8</v>
      </c>
      <c r="H12" s="16">
        <v>0.0</v>
      </c>
      <c r="I12" s="16">
        <v>0.0</v>
      </c>
      <c r="J12" s="18">
        <f t="shared" si="2"/>
        <v>0</v>
      </c>
      <c r="K12" s="20">
        <v>2.25</v>
      </c>
      <c r="L12" s="20">
        <v>9.75</v>
      </c>
      <c r="M12" s="21">
        <f t="shared" si="3"/>
        <v>6</v>
      </c>
      <c r="N12" s="23">
        <f t="shared" si="4"/>
        <v>0.04571428571</v>
      </c>
      <c r="O12" s="24" t="s">
        <v>225</v>
      </c>
      <c r="P12" s="8" t="s">
        <v>209</v>
      </c>
      <c r="Q12" s="8" t="s">
        <v>165</v>
      </c>
      <c r="R12" s="26" t="s">
        <v>230</v>
      </c>
      <c r="S12" s="8" t="s">
        <v>241</v>
      </c>
    </row>
    <row r="13" ht="27.75" customHeight="1">
      <c r="A13" s="6">
        <v>6.0</v>
      </c>
      <c r="B13" s="3" t="s">
        <v>173</v>
      </c>
      <c r="C13" s="8" t="s">
        <v>242</v>
      </c>
      <c r="D13" s="8" t="s">
        <v>180</v>
      </c>
      <c r="E13" s="16">
        <v>8.0</v>
      </c>
      <c r="F13" s="16">
        <v>16.0</v>
      </c>
      <c r="G13" s="18">
        <f t="shared" si="1"/>
        <v>24</v>
      </c>
      <c r="H13" s="16">
        <v>1.0</v>
      </c>
      <c r="I13" s="16">
        <v>0.0</v>
      </c>
      <c r="J13" s="18">
        <f t="shared" si="2"/>
        <v>1</v>
      </c>
      <c r="K13" s="20">
        <v>2.75</v>
      </c>
      <c r="L13" s="20">
        <v>8.44</v>
      </c>
      <c r="M13" s="21">
        <f t="shared" si="3"/>
        <v>6.543333333</v>
      </c>
      <c r="N13" s="23">
        <f t="shared" si="4"/>
        <v>0.1371428571</v>
      </c>
      <c r="O13" s="24" t="s">
        <v>248</v>
      </c>
      <c r="P13" s="8" t="s">
        <v>249</v>
      </c>
      <c r="Q13" s="8" t="s">
        <v>180</v>
      </c>
      <c r="R13" s="29" t="s">
        <v>250</v>
      </c>
      <c r="S13" s="8" t="s">
        <v>252</v>
      </c>
    </row>
    <row r="14" ht="27.75" customHeight="1">
      <c r="A14" s="6">
        <v>7.0</v>
      </c>
      <c r="B14" s="3" t="s">
        <v>185</v>
      </c>
      <c r="C14" s="8" t="s">
        <v>242</v>
      </c>
      <c r="D14" s="8" t="s">
        <v>253</v>
      </c>
      <c r="E14" s="16">
        <v>6.0</v>
      </c>
      <c r="F14" s="16">
        <v>1.0</v>
      </c>
      <c r="G14" s="18">
        <f t="shared" si="1"/>
        <v>7</v>
      </c>
      <c r="H14" s="16">
        <v>0.0</v>
      </c>
      <c r="I14" s="16">
        <v>0.0</v>
      </c>
      <c r="J14" s="18">
        <f t="shared" si="2"/>
        <v>0</v>
      </c>
      <c r="K14" s="20">
        <v>4.17</v>
      </c>
      <c r="L14" s="20">
        <v>4.0</v>
      </c>
      <c r="M14" s="21">
        <f t="shared" si="3"/>
        <v>4.145714286</v>
      </c>
      <c r="N14" s="23">
        <f t="shared" si="4"/>
        <v>0.04</v>
      </c>
      <c r="O14" s="24" t="s">
        <v>255</v>
      </c>
      <c r="P14" s="8" t="str">
        <f>IF(LEFT('1. Decision Summary'!$C$5,8)="Option A","301 redirect to "&amp;Q14,"Keep as mini-page (Option B)")</f>
        <v>301 redirect to /itanagar/</v>
      </c>
      <c r="Q14" s="8" t="str">
        <f>IF(LEFT('1. Decision Summary'!$C$5,8)="Option A","/itanagar/","/naharlagun/ (kept)")</f>
        <v>/itanagar/</v>
      </c>
      <c r="R14" s="29" t="s">
        <v>250</v>
      </c>
      <c r="S14" s="8" t="s">
        <v>262</v>
      </c>
    </row>
    <row r="15" ht="27.75" customHeight="1">
      <c r="A15" s="6">
        <v>8.0</v>
      </c>
      <c r="B15" s="3" t="s">
        <v>200</v>
      </c>
      <c r="C15" s="8" t="s">
        <v>242</v>
      </c>
      <c r="D15" s="8" t="s">
        <v>264</v>
      </c>
      <c r="E15" s="16"/>
      <c r="F15" s="16">
        <v>5.0</v>
      </c>
      <c r="G15" s="18">
        <f t="shared" si="1"/>
        <v>5</v>
      </c>
      <c r="H15" s="16"/>
      <c r="I15" s="16">
        <v>0.0</v>
      </c>
      <c r="J15" s="18">
        <f t="shared" si="2"/>
        <v>0</v>
      </c>
      <c r="K15" s="20"/>
      <c r="L15" s="20">
        <v>8.0</v>
      </c>
      <c r="M15" s="21">
        <f t="shared" si="3"/>
        <v>8</v>
      </c>
      <c r="N15" s="23">
        <f t="shared" si="4"/>
        <v>0.02857142857</v>
      </c>
      <c r="O15" s="24" t="s">
        <v>255</v>
      </c>
      <c r="P15" s="8" t="str">
        <f>IF(LEFT('1. Decision Summary'!$C$5,8)="Option A","301 redirect to "&amp;Q15,"Keep as mini-page (Option B)")</f>
        <v>301 redirect to /market-area/arunachal-pradesh/</v>
      </c>
      <c r="Q15" s="8" t="str">
        <f>IF(LEFT('1. Decision Summary'!$C$5,8)="Option A","/market-area/arunachal-pradesh/","/pasighat/ (kept)")</f>
        <v>/market-area/arunachal-pradesh/</v>
      </c>
      <c r="R15" s="29" t="s">
        <v>250</v>
      </c>
      <c r="S15" s="8" t="s">
        <v>273</v>
      </c>
    </row>
    <row r="16" ht="27.75" customHeight="1">
      <c r="A16" s="6">
        <v>9.0</v>
      </c>
      <c r="B16" s="3" t="s">
        <v>219</v>
      </c>
      <c r="C16" s="8" t="s">
        <v>242</v>
      </c>
      <c r="D16" s="8" t="s">
        <v>274</v>
      </c>
      <c r="E16" s="16">
        <v>9.0</v>
      </c>
      <c r="F16" s="16"/>
      <c r="G16" s="18">
        <f t="shared" si="1"/>
        <v>9</v>
      </c>
      <c r="H16" s="16">
        <v>0.0</v>
      </c>
      <c r="I16" s="16"/>
      <c r="J16" s="18">
        <f t="shared" si="2"/>
        <v>0</v>
      </c>
      <c r="K16" s="20">
        <v>5.67</v>
      </c>
      <c r="L16" s="20"/>
      <c r="M16" s="21">
        <f t="shared" si="3"/>
        <v>5.67</v>
      </c>
      <c r="N16" s="23">
        <f t="shared" si="4"/>
        <v>0.05142857143</v>
      </c>
      <c r="O16" s="24" t="s">
        <v>255</v>
      </c>
      <c r="P16" s="8" t="str">
        <f>IF(LEFT('1. Decision Summary'!$C$5,8)="Option A","301 redirect to "&amp;Q16,"Keep as mini-page (Option B)")</f>
        <v>301 redirect to /market-area/arunachal-pradesh/</v>
      </c>
      <c r="Q16" s="8" t="str">
        <f>IF(LEFT('1. Decision Summary'!$C$5,8)="Option A","/market-area/arunachal-pradesh/","/tawang/ (kept)")</f>
        <v>/market-area/arunachal-pradesh/</v>
      </c>
      <c r="R16" s="29" t="s">
        <v>250</v>
      </c>
      <c r="S16" s="8" t="s">
        <v>294</v>
      </c>
    </row>
    <row r="17" ht="27.75" customHeight="1">
      <c r="A17" s="6">
        <v>10.0</v>
      </c>
      <c r="B17" s="3" t="s">
        <v>235</v>
      </c>
      <c r="C17" s="8" t="s">
        <v>242</v>
      </c>
      <c r="D17" s="8" t="s">
        <v>299</v>
      </c>
      <c r="E17" s="16">
        <v>8.0</v>
      </c>
      <c r="F17" s="16"/>
      <c r="G17" s="18">
        <f t="shared" si="1"/>
        <v>8</v>
      </c>
      <c r="H17" s="16">
        <v>0.0</v>
      </c>
      <c r="I17" s="16"/>
      <c r="J17" s="18">
        <f t="shared" si="2"/>
        <v>0</v>
      </c>
      <c r="K17" s="20">
        <v>16.5</v>
      </c>
      <c r="L17" s="20"/>
      <c r="M17" s="21">
        <f t="shared" si="3"/>
        <v>16.5</v>
      </c>
      <c r="N17" s="23">
        <f t="shared" si="4"/>
        <v>0.04571428571</v>
      </c>
      <c r="O17" s="24" t="s">
        <v>255</v>
      </c>
      <c r="P17" s="8" t="str">
        <f>IF(LEFT('1. Decision Summary'!$C$5,8)="Option A","301 redirect to "&amp;Q17,"Keep as mini-page (Option B)")</f>
        <v>301 redirect to /market-area/arunachal-pradesh/</v>
      </c>
      <c r="Q17" s="8" t="str">
        <f>IF(LEFT('1. Decision Summary'!$C$5,8)="Option A","/market-area/arunachal-pradesh/","/ziro/ (kept)")</f>
        <v>/market-area/arunachal-pradesh/</v>
      </c>
      <c r="R17" s="29" t="s">
        <v>250</v>
      </c>
      <c r="S17" s="8" t="s">
        <v>332</v>
      </c>
    </row>
    <row r="18">
      <c r="B18" s="3" t="s">
        <v>334</v>
      </c>
      <c r="E18" s="34">
        <f t="shared" ref="E18:J18" si="5">SUM(E8:E17)</f>
        <v>104</v>
      </c>
      <c r="F18" s="34">
        <f t="shared" si="5"/>
        <v>71</v>
      </c>
      <c r="G18" s="34">
        <f t="shared" si="5"/>
        <v>175</v>
      </c>
      <c r="H18" s="34">
        <f t="shared" si="5"/>
        <v>5</v>
      </c>
      <c r="I18" s="34">
        <f t="shared" si="5"/>
        <v>0</v>
      </c>
      <c r="J18" s="34">
        <f t="shared" si="5"/>
        <v>5</v>
      </c>
      <c r="M18" s="35">
        <f>IFERROR((SUMPRODUCT(E8:E17,K8:K17)+SUMPRODUCT(F8:F17,L8:L17))/G18,"")</f>
        <v>5.720971429</v>
      </c>
      <c r="N18" s="36">
        <f>SUM(N8:N17)</f>
        <v>1</v>
      </c>
    </row>
    <row r="19">
      <c r="B19" s="3" t="s">
        <v>384</v>
      </c>
      <c r="G19" s="21">
        <f>G18/$C$4</f>
        <v>31.81818182</v>
      </c>
      <c r="J19" s="21">
        <f>J18/$C$4</f>
        <v>0.9090909091</v>
      </c>
    </row>
    <row r="20">
      <c r="B20" s="3" t="s">
        <v>389</v>
      </c>
      <c r="J20" s="23">
        <f>IF(G18=0,0,J18/G18)</f>
        <v>0.02857142857</v>
      </c>
    </row>
    <row r="21" ht="15.75" customHeight="1"/>
    <row r="22" ht="18.0" customHeight="1">
      <c r="A22" s="11" t="s">
        <v>392</v>
      </c>
      <c r="B22" s="12"/>
      <c r="C22" s="12"/>
      <c r="D22" s="12"/>
      <c r="E22" s="12"/>
      <c r="F22" s="12"/>
      <c r="G22" s="12"/>
      <c r="H22" s="12"/>
      <c r="I22" s="12"/>
      <c r="J22" s="12"/>
      <c r="K22" s="12"/>
      <c r="L22" s="12"/>
      <c r="M22" s="12"/>
      <c r="N22" s="12"/>
      <c r="O22" s="12"/>
      <c r="P22" s="12"/>
      <c r="Q22" s="12"/>
      <c r="R22" s="12"/>
      <c r="S22" s="12"/>
    </row>
    <row r="23" ht="30.0" customHeight="1">
      <c r="B23" s="28" t="str">
        <f>"All 10 URLs together earned "&amp;TEXT(G18,"0")&amp;" impressions and "&amp;TEXT(J18,"0")&amp;" clicks in about "&amp;TEXT(C4,"0.0")&amp;" months - roughly "&amp;TEXT(G19,"0")&amp;" impressions a month. City pages are a small lever."</f>
        <v>All 10 URLs together earned 175 impressions and 5 clicks in about 5.5 months - roughly 32 impressions a month. City pages are a small lever.</v>
      </c>
    </row>
    <row r="24" ht="30.0" customHeight="1">
      <c r="B24" s="28" t="s">
        <v>398</v>
      </c>
    </row>
    <row r="25" ht="30.0" customHeight="1">
      <c r="B25" s="28" t="s">
        <v>399</v>
      </c>
    </row>
    <row r="26" ht="30.0" customHeight="1">
      <c r="B26" s="28" t="s">
        <v>401</v>
      </c>
    </row>
    <row r="27" ht="30.0" customHeight="1">
      <c r="B27" s="28" t="s">
        <v>403</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3:S23"/>
    <mergeCell ref="B24:S24"/>
    <mergeCell ref="B25:S25"/>
    <mergeCell ref="B26:S26"/>
    <mergeCell ref="B27:S27"/>
  </mergeCells>
  <dataValidations>
    <dataValidation type="list" allowBlank="1" sqref="C5">
      <formula1>"Option A (recommended),Option B"</formula1>
    </dataValidation>
  </dataValidations>
  <printOptions/>
  <pageMargins bottom="1.0" footer="0.0" header="0.0" left="0.75" right="0.75" top="1.0"/>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4.0"/>
    <col customWidth="1" min="2" max="2" width="14.0"/>
    <col customWidth="1" min="3" max="3" width="30.0"/>
    <col customWidth="1" min="4" max="4" width="48.0"/>
    <col customWidth="1" min="5" max="5" width="20.0"/>
    <col customWidth="1" min="6" max="6" width="40.0"/>
    <col customWidth="1" min="7" max="7" width="44.0"/>
    <col customWidth="1" min="8" max="8" width="48.0"/>
    <col customWidth="1" min="9" max="9" width="12.0"/>
    <col customWidth="1" min="10" max="10" width="26.0"/>
    <col customWidth="1" min="11" max="26" width="8.71"/>
  </cols>
  <sheetData>
    <row r="1" ht="21.75" customHeight="1">
      <c r="A1" s="1" t="s">
        <v>1</v>
      </c>
    </row>
    <row r="2">
      <c r="A2" s="2" t="s">
        <v>10</v>
      </c>
    </row>
    <row r="4" ht="42.0" customHeight="1">
      <c r="A4" s="4" t="s">
        <v>9</v>
      </c>
      <c r="B4" s="4" t="s">
        <v>13</v>
      </c>
      <c r="C4" s="4" t="s">
        <v>16</v>
      </c>
      <c r="D4" s="4" t="s">
        <v>18</v>
      </c>
      <c r="E4" s="4" t="s">
        <v>19</v>
      </c>
      <c r="F4" s="4" t="s">
        <v>20</v>
      </c>
      <c r="G4" s="4" t="s">
        <v>21</v>
      </c>
      <c r="H4" s="4" t="s">
        <v>22</v>
      </c>
      <c r="I4" s="4" t="s">
        <v>23</v>
      </c>
      <c r="J4" s="4" t="s">
        <v>24</v>
      </c>
    </row>
    <row r="5" ht="103.5" customHeight="1">
      <c r="A5" s="6">
        <v>1.0</v>
      </c>
      <c r="B5" s="8" t="s">
        <v>25</v>
      </c>
      <c r="C5" s="3" t="s">
        <v>29</v>
      </c>
      <c r="D5" s="8" t="s">
        <v>32</v>
      </c>
      <c r="E5" s="8" t="s">
        <v>33</v>
      </c>
      <c r="F5" s="8" t="s">
        <v>35</v>
      </c>
      <c r="G5" s="8" t="s">
        <v>38</v>
      </c>
      <c r="H5" s="8" t="s">
        <v>40</v>
      </c>
      <c r="I5" s="6">
        <v>4.0</v>
      </c>
      <c r="J5" s="8" t="s">
        <v>42</v>
      </c>
    </row>
    <row r="6" ht="78.0" customHeight="1">
      <c r="A6" s="6">
        <v>2.0</v>
      </c>
      <c r="B6" s="8" t="s">
        <v>25</v>
      </c>
      <c r="C6" s="3" t="s">
        <v>47</v>
      </c>
      <c r="D6" s="8" t="s">
        <v>49</v>
      </c>
      <c r="E6" s="8" t="s">
        <v>51</v>
      </c>
      <c r="F6" s="8" t="s">
        <v>52</v>
      </c>
      <c r="G6" s="8" t="s">
        <v>53</v>
      </c>
      <c r="H6" s="8" t="s">
        <v>55</v>
      </c>
      <c r="I6" s="6">
        <v>3.0</v>
      </c>
      <c r="J6" s="8" t="s">
        <v>42</v>
      </c>
    </row>
    <row r="7" ht="90.75" customHeight="1">
      <c r="A7" s="6">
        <v>3.0</v>
      </c>
      <c r="B7" s="8" t="s">
        <v>61</v>
      </c>
      <c r="C7" s="3" t="s">
        <v>62</v>
      </c>
      <c r="D7" s="8" t="s">
        <v>64</v>
      </c>
      <c r="E7" s="8" t="s">
        <v>66</v>
      </c>
      <c r="F7" s="8" t="s">
        <v>68</v>
      </c>
      <c r="G7" s="8" t="s">
        <v>70</v>
      </c>
      <c r="H7" s="8" t="s">
        <v>73</v>
      </c>
      <c r="I7" s="6">
        <v>3.0</v>
      </c>
      <c r="J7" s="8" t="s">
        <v>75</v>
      </c>
    </row>
    <row r="8" ht="78.0" customHeight="1">
      <c r="A8" s="6">
        <v>4.0</v>
      </c>
      <c r="B8" s="8" t="s">
        <v>61</v>
      </c>
      <c r="C8" s="3" t="s">
        <v>78</v>
      </c>
      <c r="D8" s="8" t="s">
        <v>80</v>
      </c>
      <c r="E8" s="8" t="s">
        <v>81</v>
      </c>
      <c r="F8" s="8" t="s">
        <v>83</v>
      </c>
      <c r="G8" s="8" t="s">
        <v>86</v>
      </c>
      <c r="H8" s="8" t="s">
        <v>88</v>
      </c>
      <c r="I8" s="6">
        <v>3.0</v>
      </c>
      <c r="J8" s="8" t="s">
        <v>75</v>
      </c>
    </row>
    <row r="9" ht="78.0" customHeight="1">
      <c r="A9" s="6">
        <v>5.0</v>
      </c>
      <c r="B9" s="8" t="s">
        <v>92</v>
      </c>
      <c r="C9" s="3" t="s">
        <v>94</v>
      </c>
      <c r="D9" s="8" t="s">
        <v>97</v>
      </c>
      <c r="E9" s="8" t="s">
        <v>98</v>
      </c>
      <c r="F9" s="8" t="s">
        <v>100</v>
      </c>
      <c r="G9" s="8" t="s">
        <v>102</v>
      </c>
      <c r="H9" s="8" t="s">
        <v>103</v>
      </c>
      <c r="I9" s="6">
        <v>2.0</v>
      </c>
      <c r="J9" s="8" t="s">
        <v>106</v>
      </c>
    </row>
    <row r="10" ht="78.0" customHeight="1">
      <c r="A10" s="6">
        <v>6.0</v>
      </c>
      <c r="B10" s="8" t="s">
        <v>92</v>
      </c>
      <c r="C10" s="3" t="s">
        <v>113</v>
      </c>
      <c r="D10" s="8" t="s">
        <v>116</v>
      </c>
      <c r="E10" s="8" t="s">
        <v>98</v>
      </c>
      <c r="F10" s="8" t="s">
        <v>118</v>
      </c>
      <c r="G10" s="8" t="s">
        <v>119</v>
      </c>
      <c r="H10" s="8" t="s">
        <v>121</v>
      </c>
      <c r="I10" s="6">
        <v>2.0</v>
      </c>
      <c r="J10" s="8" t="s">
        <v>106</v>
      </c>
    </row>
    <row r="11" ht="66.0" customHeight="1">
      <c r="A11" s="6">
        <v>7.0</v>
      </c>
      <c r="B11" s="8" t="s">
        <v>126</v>
      </c>
      <c r="C11" s="3" t="s">
        <v>128</v>
      </c>
      <c r="D11" s="8" t="s">
        <v>130</v>
      </c>
      <c r="E11" s="8" t="s">
        <v>131</v>
      </c>
      <c r="F11" s="8" t="s">
        <v>133</v>
      </c>
      <c r="G11" s="8" t="s">
        <v>134</v>
      </c>
      <c r="H11" s="8" t="s">
        <v>135</v>
      </c>
      <c r="I11" s="6">
        <v>2.0</v>
      </c>
      <c r="J11" s="8" t="s">
        <v>137</v>
      </c>
    </row>
    <row r="12" ht="66.0" customHeight="1">
      <c r="A12" s="6">
        <v>8.0</v>
      </c>
      <c r="B12" s="8" t="s">
        <v>126</v>
      </c>
      <c r="C12" s="3" t="s">
        <v>140</v>
      </c>
      <c r="D12" s="8" t="s">
        <v>142</v>
      </c>
      <c r="E12" s="8" t="s">
        <v>98</v>
      </c>
      <c r="F12" s="8" t="s">
        <v>144</v>
      </c>
      <c r="G12" s="8" t="s">
        <v>146</v>
      </c>
      <c r="H12" s="8" t="s">
        <v>147</v>
      </c>
      <c r="I12" s="6">
        <v>1.0</v>
      </c>
      <c r="J12" s="8" t="s">
        <v>137</v>
      </c>
    </row>
    <row r="13" ht="53.25" customHeight="1">
      <c r="A13" s="6">
        <v>9.0</v>
      </c>
      <c r="B13" s="8" t="s">
        <v>151</v>
      </c>
      <c r="C13" s="3" t="s">
        <v>152</v>
      </c>
      <c r="D13" s="8" t="s">
        <v>154</v>
      </c>
      <c r="E13" s="8" t="s">
        <v>157</v>
      </c>
      <c r="F13" s="8" t="s">
        <v>159</v>
      </c>
      <c r="G13" s="8" t="s">
        <v>160</v>
      </c>
      <c r="H13" s="8" t="s">
        <v>162</v>
      </c>
      <c r="I13" s="6">
        <v>2.0</v>
      </c>
      <c r="J13" s="8" t="s">
        <v>165</v>
      </c>
    </row>
    <row r="14" ht="53.25" customHeight="1">
      <c r="A14" s="6">
        <v>10.0</v>
      </c>
      <c r="B14" s="8" t="s">
        <v>151</v>
      </c>
      <c r="C14" s="3" t="s">
        <v>166</v>
      </c>
      <c r="D14" s="8" t="s">
        <v>167</v>
      </c>
      <c r="E14" s="8" t="s">
        <v>98</v>
      </c>
      <c r="F14" s="8" t="s">
        <v>169</v>
      </c>
      <c r="G14" s="8" t="s">
        <v>171</v>
      </c>
      <c r="H14" s="8" t="s">
        <v>172</v>
      </c>
      <c r="I14" s="6">
        <v>1.0</v>
      </c>
      <c r="J14" s="8" t="s">
        <v>165</v>
      </c>
    </row>
    <row r="15" ht="53.25" customHeight="1">
      <c r="A15" s="6">
        <v>11.0</v>
      </c>
      <c r="B15" s="8" t="s">
        <v>173</v>
      </c>
      <c r="C15" s="3" t="s">
        <v>174</v>
      </c>
      <c r="D15" s="8" t="s">
        <v>176</v>
      </c>
      <c r="E15" s="8" t="s">
        <v>98</v>
      </c>
      <c r="F15" s="8" t="s">
        <v>177</v>
      </c>
      <c r="G15" s="8" t="s">
        <v>178</v>
      </c>
      <c r="H15" s="8" t="s">
        <v>179</v>
      </c>
      <c r="I15" s="6">
        <v>1.0</v>
      </c>
      <c r="J15" s="8" t="s">
        <v>180</v>
      </c>
    </row>
    <row r="16" ht="40.5" customHeight="1">
      <c r="A16" s="6">
        <v>12.0</v>
      </c>
      <c r="B16" s="8" t="s">
        <v>173</v>
      </c>
      <c r="C16" s="3" t="s">
        <v>181</v>
      </c>
      <c r="D16" s="8" t="s">
        <v>182</v>
      </c>
      <c r="E16" s="8" t="s">
        <v>98</v>
      </c>
      <c r="F16" s="8" t="s">
        <v>183</v>
      </c>
      <c r="G16" s="8" t="s">
        <v>178</v>
      </c>
      <c r="H16" s="8" t="s">
        <v>184</v>
      </c>
      <c r="I16" s="6">
        <v>1.0</v>
      </c>
      <c r="J16" s="8" t="s">
        <v>180</v>
      </c>
    </row>
    <row r="17" ht="27.75" customHeight="1">
      <c r="A17" s="6">
        <v>13.0</v>
      </c>
      <c r="B17" s="8" t="s">
        <v>185</v>
      </c>
      <c r="C17" s="3" t="s">
        <v>186</v>
      </c>
      <c r="D17" s="8" t="s">
        <v>187</v>
      </c>
      <c r="E17" s="8" t="s">
        <v>98</v>
      </c>
      <c r="F17" s="8" t="s">
        <v>188</v>
      </c>
      <c r="G17" s="8" t="s">
        <v>178</v>
      </c>
      <c r="H17" s="8" t="s">
        <v>189</v>
      </c>
      <c r="I17" s="6">
        <v>1.0</v>
      </c>
      <c r="J17" s="8" t="str">
        <f>IF(LEFT('1. Decision Summary'!$C$5,8)="Option A","/itanagar/","/naharlagun/ (Option B)")</f>
        <v>/itanagar/</v>
      </c>
    </row>
    <row r="18" ht="53.25" customHeight="1">
      <c r="A18" s="6">
        <v>14.0</v>
      </c>
      <c r="B18" s="8" t="s">
        <v>185</v>
      </c>
      <c r="C18" s="3" t="s">
        <v>193</v>
      </c>
      <c r="D18" s="8" t="s">
        <v>194</v>
      </c>
      <c r="E18" s="8" t="s">
        <v>98</v>
      </c>
      <c r="F18" s="8" t="s">
        <v>195</v>
      </c>
      <c r="G18" s="8" t="s">
        <v>196</v>
      </c>
      <c r="H18" s="8" t="s">
        <v>197</v>
      </c>
      <c r="I18" s="6">
        <v>1.0</v>
      </c>
      <c r="J18" s="8" t="str">
        <f>IF(LEFT('1. Decision Summary'!$C$5,8)="Option A","/itanagar/","/naharlagun/ (Option B)")</f>
        <v>/itanagar/</v>
      </c>
    </row>
    <row r="19" ht="53.25" customHeight="1">
      <c r="A19" s="6">
        <v>15.0</v>
      </c>
      <c r="B19" s="8" t="s">
        <v>200</v>
      </c>
      <c r="C19" s="3" t="s">
        <v>202</v>
      </c>
      <c r="D19" s="8" t="s">
        <v>204</v>
      </c>
      <c r="E19" s="8" t="s">
        <v>98</v>
      </c>
      <c r="F19" s="8" t="s">
        <v>205</v>
      </c>
      <c r="G19" s="8" t="s">
        <v>178</v>
      </c>
      <c r="H19" s="8" t="s">
        <v>206</v>
      </c>
      <c r="I19" s="6">
        <v>1.0</v>
      </c>
      <c r="J19" s="8" t="str">
        <f>IF(LEFT('1. Decision Summary'!$C$5,8)="Option A","/market-area/arunachal-pradesh/","/pasighat/ (Option B)")</f>
        <v>/market-area/arunachal-pradesh/</v>
      </c>
    </row>
    <row r="20" ht="40.5" customHeight="1">
      <c r="A20" s="6">
        <v>16.0</v>
      </c>
      <c r="B20" s="8" t="s">
        <v>200</v>
      </c>
      <c r="C20" s="3" t="s">
        <v>213</v>
      </c>
      <c r="D20" s="8" t="s">
        <v>214</v>
      </c>
      <c r="E20" s="8" t="s">
        <v>98</v>
      </c>
      <c r="F20" s="8" t="s">
        <v>205</v>
      </c>
      <c r="G20" s="8" t="s">
        <v>178</v>
      </c>
      <c r="H20" s="8" t="s">
        <v>215</v>
      </c>
      <c r="I20" s="6">
        <v>1.0</v>
      </c>
      <c r="J20" s="8" t="str">
        <f>IF(LEFT('1. Decision Summary'!$C$5,8)="Option A","/market-area/arunachal-pradesh/","/pasighat/ (Option B)")</f>
        <v>/market-area/arunachal-pradesh/</v>
      </c>
    </row>
    <row r="21" ht="66.0" customHeight="1">
      <c r="A21" s="6">
        <v>17.0</v>
      </c>
      <c r="B21" s="8" t="s">
        <v>219</v>
      </c>
      <c r="C21" s="3" t="s">
        <v>220</v>
      </c>
      <c r="D21" s="8" t="s">
        <v>221</v>
      </c>
      <c r="E21" s="8" t="s">
        <v>222</v>
      </c>
      <c r="F21" s="8" t="s">
        <v>205</v>
      </c>
      <c r="G21" s="8" t="s">
        <v>178</v>
      </c>
      <c r="H21" s="8" t="s">
        <v>224</v>
      </c>
      <c r="I21" s="6">
        <v>1.0</v>
      </c>
      <c r="J21" s="8" t="str">
        <f>IF(LEFT('1. Decision Summary'!$C$5,8)="Option A","/market-area/arunachal-pradesh/","/tawang/ (Option B)")</f>
        <v>/market-area/arunachal-pradesh/</v>
      </c>
    </row>
    <row r="22" ht="40.5" customHeight="1">
      <c r="A22" s="6">
        <v>18.0</v>
      </c>
      <c r="B22" s="8" t="s">
        <v>219</v>
      </c>
      <c r="C22" s="3" t="s">
        <v>229</v>
      </c>
      <c r="D22" s="8" t="s">
        <v>231</v>
      </c>
      <c r="E22" s="8" t="s">
        <v>232</v>
      </c>
      <c r="F22" s="8" t="s">
        <v>178</v>
      </c>
      <c r="G22" s="8" t="s">
        <v>178</v>
      </c>
      <c r="H22" s="8" t="s">
        <v>215</v>
      </c>
      <c r="I22" s="6">
        <v>1.0</v>
      </c>
      <c r="J22" s="8" t="str">
        <f>IF(LEFT('1. Decision Summary'!$C$5,8)="Option A","/market-area/arunachal-pradesh/","/tawang/ (Option B)")</f>
        <v>/market-area/arunachal-pradesh/</v>
      </c>
    </row>
    <row r="23" ht="53.25" customHeight="1">
      <c r="A23" s="6">
        <v>19.0</v>
      </c>
      <c r="B23" s="8" t="s">
        <v>235</v>
      </c>
      <c r="C23" s="3" t="s">
        <v>238</v>
      </c>
      <c r="D23" s="8" t="s">
        <v>239</v>
      </c>
      <c r="E23" s="8" t="s">
        <v>98</v>
      </c>
      <c r="F23" s="8" t="s">
        <v>178</v>
      </c>
      <c r="G23" s="8" t="s">
        <v>178</v>
      </c>
      <c r="H23" s="8" t="s">
        <v>215</v>
      </c>
      <c r="I23" s="6">
        <v>1.0</v>
      </c>
      <c r="J23" s="8" t="str">
        <f>IF(LEFT('1. Decision Summary'!$C$5,8)="Option A","/market-area/arunachal-pradesh/","/ziro/ (Option B)")</f>
        <v>/market-area/arunachal-pradesh/</v>
      </c>
    </row>
    <row r="24" ht="40.5" customHeight="1">
      <c r="A24" s="6">
        <v>20.0</v>
      </c>
      <c r="B24" s="8" t="s">
        <v>235</v>
      </c>
      <c r="C24" s="3" t="s">
        <v>244</v>
      </c>
      <c r="D24" s="8" t="s">
        <v>245</v>
      </c>
      <c r="E24" s="8" t="s">
        <v>98</v>
      </c>
      <c r="F24" s="8" t="s">
        <v>178</v>
      </c>
      <c r="G24" s="8" t="s">
        <v>178</v>
      </c>
      <c r="H24" s="8" t="s">
        <v>215</v>
      </c>
      <c r="I24" s="6">
        <v>1.0</v>
      </c>
      <c r="J24" s="8" t="str">
        <f>IF(LEFT('1. Decision Summary'!$C$5,8)="Option A","/market-area/arunachal-pradesh/","/ziro/ (Option B)")</f>
        <v>/market-area/arunachal-pradesh/</v>
      </c>
    </row>
    <row r="25" ht="15.75" customHeight="1"/>
    <row r="26" ht="15.75" customHeight="1">
      <c r="B26" s="3" t="s">
        <v>254</v>
      </c>
      <c r="C26" s="8" t="str">
        <f>COUNTIF(I5:I24,"&lt;=2")&amp;" of "&amp;COUNT(I5:I24)</f>
        <v>16 of 20</v>
      </c>
    </row>
    <row r="27" ht="15.75" customHeight="1">
      <c r="B27" s="3" t="s">
        <v>256</v>
      </c>
      <c r="C27" s="31">
        <f>AVERAGE(I5:I24)</f>
        <v>1.65</v>
      </c>
    </row>
    <row r="28" ht="27.75" customHeight="1">
      <c r="B28" s="3" t="s">
        <v>265</v>
      </c>
      <c r="C28" s="15" t="s">
        <v>268</v>
      </c>
      <c r="D28" s="7"/>
      <c r="E28" s="7"/>
      <c r="F28" s="7"/>
      <c r="G28" s="7"/>
      <c r="H28" s="9"/>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8:H28"/>
  </mergeCells>
  <conditionalFormatting sqref="I5:I24">
    <cfRule type="colorScale" priority="1">
      <colorScale>
        <cfvo type="formula" val="1"/>
        <cfvo type="formula" val="3"/>
        <cfvo type="formula" val="5"/>
        <color rgb="FFC6EFCE"/>
        <color rgb="FFFFEB9C"/>
        <color rgb="FFF8CBAD"/>
      </colorScale>
    </cfRule>
  </conditionalFormatting>
  <printOptions/>
  <pageMargins bottom="1.0" footer="0.0" header="0.0" left="0.75" right="0.75" top="1.0"/>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4.0"/>
    <col customWidth="1" min="2" max="2" width="34.0"/>
    <col customWidth="1" min="3" max="3" width="22.0"/>
    <col customWidth="1" min="4" max="4" width="46.0"/>
    <col customWidth="1" min="5" max="5" width="50.0"/>
    <col customWidth="1" min="6" max="6" width="56.0"/>
    <col customWidth="1" min="7" max="26" width="8.71"/>
  </cols>
  <sheetData>
    <row r="1" ht="21.75" customHeight="1">
      <c r="A1" s="1" t="s">
        <v>2</v>
      </c>
    </row>
    <row r="2">
      <c r="A2" s="2" t="s">
        <v>6</v>
      </c>
    </row>
    <row r="4" ht="30.0" customHeight="1">
      <c r="A4" s="4" t="s">
        <v>9</v>
      </c>
      <c r="B4" s="4" t="s">
        <v>11</v>
      </c>
      <c r="C4" s="4" t="s">
        <v>12</v>
      </c>
      <c r="D4" s="4" t="s">
        <v>14</v>
      </c>
      <c r="E4" s="4" t="s">
        <v>15</v>
      </c>
      <c r="F4" s="4" t="s">
        <v>17</v>
      </c>
    </row>
    <row r="5" ht="53.25" customHeight="1">
      <c r="A5" s="6">
        <v>1.0</v>
      </c>
      <c r="B5" s="3" t="s">
        <v>26</v>
      </c>
      <c r="C5" s="8" t="s">
        <v>27</v>
      </c>
      <c r="D5" s="8" t="s">
        <v>28</v>
      </c>
      <c r="E5" s="8" t="s">
        <v>30</v>
      </c>
      <c r="F5" s="8" t="s">
        <v>31</v>
      </c>
    </row>
    <row r="6" ht="40.5" customHeight="1">
      <c r="A6" s="6">
        <v>2.0</v>
      </c>
      <c r="B6" s="3" t="s">
        <v>34</v>
      </c>
      <c r="C6" s="8" t="s">
        <v>36</v>
      </c>
      <c r="D6" s="8" t="s">
        <v>37</v>
      </c>
      <c r="E6" s="8" t="s">
        <v>39</v>
      </c>
      <c r="F6" s="8" t="s">
        <v>41</v>
      </c>
    </row>
    <row r="7" ht="27.75" customHeight="1">
      <c r="A7" s="6">
        <v>3.0</v>
      </c>
      <c r="B7" s="3" t="s">
        <v>44</v>
      </c>
      <c r="C7" s="8" t="s">
        <v>45</v>
      </c>
      <c r="D7" s="8" t="s">
        <v>46</v>
      </c>
      <c r="E7" s="8" t="s">
        <v>48</v>
      </c>
      <c r="F7" s="8" t="s">
        <v>50</v>
      </c>
    </row>
    <row r="8" ht="53.25" customHeight="1">
      <c r="A8" s="6">
        <v>4.0</v>
      </c>
      <c r="B8" s="3" t="s">
        <v>54</v>
      </c>
      <c r="C8" s="8" t="s">
        <v>56</v>
      </c>
      <c r="D8" s="8" t="s">
        <v>57</v>
      </c>
      <c r="E8" s="8" t="s">
        <v>58</v>
      </c>
      <c r="F8" s="8" t="s">
        <v>60</v>
      </c>
    </row>
    <row r="9" ht="27.75" customHeight="1">
      <c r="A9" s="6">
        <v>5.0</v>
      </c>
      <c r="B9" s="3" t="s">
        <v>63</v>
      </c>
      <c r="C9" s="8" t="s">
        <v>45</v>
      </c>
      <c r="D9" s="8" t="s">
        <v>65</v>
      </c>
      <c r="E9" s="8" t="s">
        <v>67</v>
      </c>
      <c r="F9" s="8" t="s">
        <v>69</v>
      </c>
    </row>
    <row r="10" ht="27.75" customHeight="1">
      <c r="A10" s="6">
        <v>6.0</v>
      </c>
      <c r="B10" s="3" t="s">
        <v>72</v>
      </c>
      <c r="C10" s="8" t="s">
        <v>74</v>
      </c>
      <c r="D10" s="8" t="s">
        <v>76</v>
      </c>
      <c r="E10" s="8" t="s">
        <v>77</v>
      </c>
      <c r="F10" s="8" t="s">
        <v>79</v>
      </c>
    </row>
    <row r="11" ht="27.75" customHeight="1">
      <c r="A11" s="6">
        <v>7.0</v>
      </c>
      <c r="B11" s="3" t="s">
        <v>82</v>
      </c>
      <c r="C11" s="8" t="s">
        <v>84</v>
      </c>
      <c r="D11" s="8" t="s">
        <v>87</v>
      </c>
      <c r="E11" s="8" t="s">
        <v>89</v>
      </c>
      <c r="F11" s="8" t="s">
        <v>90</v>
      </c>
    </row>
    <row r="12" ht="27.75" customHeight="1">
      <c r="A12" s="6">
        <v>8.0</v>
      </c>
      <c r="B12" s="3" t="s">
        <v>91</v>
      </c>
      <c r="C12" s="8" t="s">
        <v>93</v>
      </c>
      <c r="D12" s="8" t="s">
        <v>96</v>
      </c>
      <c r="E12" s="8" t="s">
        <v>99</v>
      </c>
      <c r="F12" s="8" t="s">
        <v>101</v>
      </c>
    </row>
    <row r="13" ht="27.75" customHeight="1">
      <c r="A13" s="6">
        <v>9.0</v>
      </c>
      <c r="B13" s="3" t="s">
        <v>104</v>
      </c>
      <c r="C13" s="8" t="s">
        <v>105</v>
      </c>
      <c r="D13" s="8" t="s">
        <v>108</v>
      </c>
      <c r="E13" s="8" t="s">
        <v>109</v>
      </c>
      <c r="F13" s="8" t="s">
        <v>110</v>
      </c>
    </row>
    <row r="14" ht="27.75" customHeight="1">
      <c r="A14" s="6">
        <v>10.0</v>
      </c>
      <c r="B14" s="3" t="s">
        <v>111</v>
      </c>
      <c r="C14" s="8" t="s">
        <v>112</v>
      </c>
      <c r="D14" s="8" t="s">
        <v>114</v>
      </c>
      <c r="E14" s="8" t="s">
        <v>115</v>
      </c>
      <c r="F14" s="8" t="s">
        <v>117</v>
      </c>
    </row>
    <row r="15" ht="53.25" customHeight="1">
      <c r="A15" s="6">
        <v>11.0</v>
      </c>
      <c r="B15" s="3" t="s">
        <v>120</v>
      </c>
      <c r="C15" s="8" t="s">
        <v>122</v>
      </c>
      <c r="D15" s="8" t="s">
        <v>123</v>
      </c>
      <c r="E15" s="8" t="s">
        <v>124</v>
      </c>
      <c r="F15" s="8" t="s">
        <v>127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4.0"/>
    <col customWidth="1" min="2" max="2" width="24.0"/>
    <col customWidth="1" min="3" max="4" width="44.0"/>
    <col customWidth="1" min="5" max="5" width="50.0"/>
    <col customWidth="1" min="6" max="6" width="30.0"/>
    <col customWidth="1" min="7" max="7" width="10.0"/>
    <col customWidth="1" min="8" max="26" width="8.71"/>
  </cols>
  <sheetData>
    <row r="1" ht="21.75" customHeight="1">
      <c r="A1" s="1" t="s">
        <v>277</v>
      </c>
    </row>
    <row r="2">
      <c r="A2" s="2" t="s">
        <v>278</v>
      </c>
    </row>
    <row r="4" ht="30.0" customHeight="1">
      <c r="A4" s="4" t="s">
        <v>9</v>
      </c>
      <c r="B4" s="4" t="s">
        <v>280</v>
      </c>
      <c r="C4" s="4" t="s">
        <v>281</v>
      </c>
      <c r="D4" s="4" t="s">
        <v>282</v>
      </c>
      <c r="E4" s="4" t="s">
        <v>284</v>
      </c>
      <c r="F4" s="4" t="s">
        <v>285</v>
      </c>
      <c r="G4" s="4" t="s">
        <v>286</v>
      </c>
    </row>
    <row r="5" ht="53.25" customHeight="1">
      <c r="A5" s="6">
        <v>1.0</v>
      </c>
      <c r="B5" s="3" t="s">
        <v>288</v>
      </c>
      <c r="C5" s="8" t="s">
        <v>289</v>
      </c>
      <c r="D5" s="8" t="s">
        <v>291</v>
      </c>
      <c r="E5" s="8" t="s">
        <v>292</v>
      </c>
      <c r="F5" s="8" t="s">
        <v>293</v>
      </c>
      <c r="G5" s="6" t="s">
        <v>295</v>
      </c>
    </row>
    <row r="6" ht="27.75" customHeight="1">
      <c r="A6" s="6">
        <v>2.0</v>
      </c>
      <c r="B6" s="3" t="s">
        <v>296</v>
      </c>
      <c r="C6" s="8" t="s">
        <v>297</v>
      </c>
      <c r="D6" s="8" t="s">
        <v>298</v>
      </c>
      <c r="E6" s="8" t="s">
        <v>300</v>
      </c>
      <c r="F6" s="8" t="s">
        <v>302</v>
      </c>
      <c r="G6" s="6" t="s">
        <v>295</v>
      </c>
    </row>
    <row r="7" ht="40.5" customHeight="1">
      <c r="A7" s="6">
        <v>3.0</v>
      </c>
      <c r="B7" s="3" t="s">
        <v>303</v>
      </c>
      <c r="C7" s="8" t="s">
        <v>304</v>
      </c>
      <c r="D7" s="8" t="s">
        <v>305</v>
      </c>
      <c r="E7" s="8" t="s">
        <v>306</v>
      </c>
      <c r="F7" s="8" t="s">
        <v>307</v>
      </c>
      <c r="G7" s="6" t="s">
        <v>295</v>
      </c>
    </row>
    <row r="8" ht="40.5" customHeight="1">
      <c r="A8" s="6">
        <v>4.0</v>
      </c>
      <c r="B8" s="3" t="s">
        <v>308</v>
      </c>
      <c r="C8" s="8" t="s">
        <v>309</v>
      </c>
      <c r="D8" s="8" t="s">
        <v>310</v>
      </c>
      <c r="E8" s="8" t="s">
        <v>311</v>
      </c>
      <c r="F8" s="8" t="s">
        <v>312</v>
      </c>
      <c r="G8" s="6" t="s">
        <v>295</v>
      </c>
    </row>
    <row r="9" ht="27.75" customHeight="1">
      <c r="A9" s="6">
        <v>5.0</v>
      </c>
      <c r="B9" s="3" t="s">
        <v>313</v>
      </c>
      <c r="C9" s="8" t="s">
        <v>314</v>
      </c>
      <c r="D9" s="8" t="s">
        <v>315</v>
      </c>
      <c r="E9" s="8" t="s">
        <v>316</v>
      </c>
      <c r="F9" s="8" t="s">
        <v>318</v>
      </c>
      <c r="G9" s="6" t="s">
        <v>319</v>
      </c>
    </row>
    <row r="10" ht="27.75" customHeight="1">
      <c r="A10" s="6">
        <v>6.0</v>
      </c>
      <c r="B10" s="3" t="s">
        <v>320</v>
      </c>
      <c r="C10" s="8" t="s">
        <v>178</v>
      </c>
      <c r="D10" s="8" t="s">
        <v>321</v>
      </c>
      <c r="E10" s="8" t="s">
        <v>322</v>
      </c>
      <c r="F10" s="8" t="s">
        <v>324</v>
      </c>
      <c r="G10" s="6" t="s">
        <v>325</v>
      </c>
    </row>
    <row r="11" ht="90.75" customHeight="1">
      <c r="A11" s="6">
        <v>7.0</v>
      </c>
      <c r="B11" s="3" t="s">
        <v>326</v>
      </c>
      <c r="C11" s="8" t="s">
        <v>178</v>
      </c>
      <c r="D11" s="8" t="s">
        <v>328</v>
      </c>
      <c r="E11" s="8" t="s">
        <v>329</v>
      </c>
      <c r="F11" s="8" t="s">
        <v>330</v>
      </c>
      <c r="G11" s="6" t="s">
        <v>325</v>
      </c>
    </row>
    <row r="12" ht="27.75" customHeight="1">
      <c r="A12" s="6">
        <v>8.0</v>
      </c>
      <c r="B12" s="3" t="s">
        <v>331</v>
      </c>
      <c r="C12" s="8" t="s">
        <v>178</v>
      </c>
      <c r="D12" s="8" t="s">
        <v>333</v>
      </c>
      <c r="E12" s="8" t="s">
        <v>335</v>
      </c>
      <c r="F12" s="8" t="s">
        <v>336</v>
      </c>
      <c r="G12" s="6" t="s">
        <v>295</v>
      </c>
    </row>
    <row r="13" ht="40.5" customHeight="1">
      <c r="A13" s="6">
        <v>9.0</v>
      </c>
      <c r="B13" s="3" t="s">
        <v>338</v>
      </c>
      <c r="C13" s="8" t="s">
        <v>178</v>
      </c>
      <c r="D13" s="8" t="s">
        <v>339</v>
      </c>
      <c r="E13" s="8" t="s">
        <v>340</v>
      </c>
      <c r="F13" s="8" t="s">
        <v>341</v>
      </c>
      <c r="G13" s="6" t="s">
        <v>342</v>
      </c>
    </row>
    <row r="14" ht="27.75" customHeight="1">
      <c r="A14" s="6">
        <v>10.0</v>
      </c>
      <c r="B14" s="3" t="s">
        <v>344</v>
      </c>
      <c r="C14" s="8" t="s">
        <v>345</v>
      </c>
      <c r="D14" s="8" t="s">
        <v>346</v>
      </c>
      <c r="E14" s="8" t="s">
        <v>347</v>
      </c>
      <c r="F14" s="8" t="s">
        <v>348</v>
      </c>
      <c r="G14" s="6" t="s">
        <v>319</v>
      </c>
    </row>
    <row r="15" ht="27.75" customHeight="1">
      <c r="A15" s="6">
        <v>11.0</v>
      </c>
      <c r="B15" s="3" t="s">
        <v>349</v>
      </c>
      <c r="C15" s="8" t="s">
        <v>350</v>
      </c>
      <c r="D15" s="8" t="s">
        <v>351</v>
      </c>
      <c r="E15" s="8" t="s">
        <v>352</v>
      </c>
      <c r="F15" s="8" t="s">
        <v>353</v>
      </c>
      <c r="G15" s="6" t="s">
        <v>354</v>
      </c>
    </row>
    <row r="16" ht="27.75" customHeight="1">
      <c r="A16" s="6">
        <v>12.0</v>
      </c>
      <c r="B16" s="3" t="s">
        <v>355</v>
      </c>
      <c r="C16" s="8" t="s">
        <v>356</v>
      </c>
      <c r="D16" s="8" t="s">
        <v>358</v>
      </c>
      <c r="E16" s="8" t="s">
        <v>359</v>
      </c>
      <c r="F16" s="8" t="s">
        <v>360</v>
      </c>
      <c r="G16" s="6" t="s">
        <v>295</v>
      </c>
    </row>
    <row r="17" ht="27.75" customHeight="1">
      <c r="A17" s="6">
        <v>13.0</v>
      </c>
      <c r="B17" s="3" t="s">
        <v>361</v>
      </c>
      <c r="C17" s="8" t="s">
        <v>362</v>
      </c>
      <c r="D17" s="8" t="s">
        <v>363</v>
      </c>
      <c r="E17" s="8" t="s">
        <v>364</v>
      </c>
      <c r="F17" s="8" t="s">
        <v>365</v>
      </c>
      <c r="G17" s="6" t="s">
        <v>319</v>
      </c>
    </row>
    <row r="18" ht="27.75" customHeight="1">
      <c r="A18" s="6">
        <v>14.0</v>
      </c>
      <c r="B18" s="3" t="s">
        <v>367</v>
      </c>
      <c r="C18" s="8" t="s">
        <v>368</v>
      </c>
      <c r="D18" s="8" t="s">
        <v>369</v>
      </c>
      <c r="E18" s="8" t="s">
        <v>370</v>
      </c>
      <c r="F18" s="8" t="s">
        <v>371</v>
      </c>
      <c r="G18" s="6" t="s">
        <v>319</v>
      </c>
    </row>
    <row r="20" ht="18.0" customHeight="1">
      <c r="A20" s="11" t="s">
        <v>373</v>
      </c>
      <c r="B20" s="12"/>
      <c r="C20" s="12"/>
      <c r="D20" s="12"/>
      <c r="E20" s="12"/>
      <c r="F20" s="12"/>
      <c r="G20" s="12"/>
    </row>
    <row r="21" ht="18.0" customHeight="1">
      <c r="A21" s="6">
        <v>1.0</v>
      </c>
      <c r="B21" s="15" t="s">
        <v>376</v>
      </c>
      <c r="C21" s="7"/>
      <c r="D21" s="7"/>
      <c r="E21" s="7"/>
      <c r="F21" s="7"/>
      <c r="G21" s="9"/>
    </row>
    <row r="22" ht="18.0" customHeight="1">
      <c r="A22" s="6">
        <v>2.0</v>
      </c>
      <c r="B22" s="15" t="s">
        <v>378</v>
      </c>
      <c r="C22" s="7"/>
      <c r="D22" s="7"/>
      <c r="E22" s="7"/>
      <c r="F22" s="7"/>
      <c r="G22" s="9"/>
    </row>
    <row r="23" ht="18.0" customHeight="1">
      <c r="A23" s="6">
        <v>3.0</v>
      </c>
      <c r="B23" s="15" t="s">
        <v>380</v>
      </c>
      <c r="C23" s="7"/>
      <c r="D23" s="7"/>
      <c r="E23" s="7"/>
      <c r="F23" s="7"/>
      <c r="G23" s="9"/>
    </row>
    <row r="24" ht="18.0" customHeight="1">
      <c r="A24" s="6">
        <v>4.0</v>
      </c>
      <c r="B24" s="15" t="s">
        <v>382</v>
      </c>
      <c r="C24" s="7"/>
      <c r="D24" s="7"/>
      <c r="E24" s="7"/>
      <c r="F24" s="7"/>
      <c r="G24" s="9"/>
    </row>
    <row r="25" ht="18.0" customHeight="1">
      <c r="A25" s="6">
        <v>5.0</v>
      </c>
      <c r="B25" s="15" t="s">
        <v>385</v>
      </c>
      <c r="C25" s="7"/>
      <c r="D25" s="7"/>
      <c r="E25" s="7"/>
      <c r="F25" s="7"/>
      <c r="G25" s="9"/>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1:G21"/>
    <mergeCell ref="B22:G22"/>
    <mergeCell ref="B23:G23"/>
    <mergeCell ref="B24:G24"/>
    <mergeCell ref="B25:G25"/>
  </mergeCells>
  <conditionalFormatting sqref="G5:G18">
    <cfRule type="expression" dxfId="0" priority="1">
      <formula>ISNUMBER(SEARCH("YES",G5))</formula>
    </cfRule>
  </conditionalFormatting>
  <conditionalFormatting sqref="G5:G18">
    <cfRule type="expression" dxfId="1" priority="2">
      <formula>G5="no"</formula>
    </cfRule>
  </conditionalFormatting>
  <printOptions/>
  <pageMargins bottom="1.0" footer="0.0" header="0.0" left="0.75" right="0.75" top="1.0"/>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5.0"/>
    <col customWidth="1" min="2" max="2" width="22.0"/>
    <col customWidth="1" min="3" max="3" width="38.0"/>
    <col customWidth="1" min="4" max="4" width="20.0"/>
    <col customWidth="1" min="5" max="5" width="22.0"/>
    <col customWidth="1" min="6" max="6" width="30.0"/>
    <col customWidth="1" min="7" max="7" width="58.0"/>
    <col customWidth="1" min="8" max="8" width="9.0"/>
    <col customWidth="1" min="9" max="9" width="44.0"/>
    <col customWidth="1" min="10" max="26" width="8.71"/>
  </cols>
  <sheetData>
    <row r="1" ht="21.75" customHeight="1">
      <c r="A1" s="1" t="s">
        <v>431</v>
      </c>
    </row>
    <row r="2">
      <c r="A2" s="2" t="s">
        <v>432</v>
      </c>
    </row>
    <row r="4" ht="30.0" customHeight="1">
      <c r="A4" s="4" t="s">
        <v>9</v>
      </c>
      <c r="B4" s="4" t="s">
        <v>433</v>
      </c>
      <c r="C4" s="4" t="s">
        <v>16</v>
      </c>
      <c r="D4" s="4" t="s">
        <v>435</v>
      </c>
      <c r="E4" s="4" t="s">
        <v>436</v>
      </c>
      <c r="F4" s="4" t="s">
        <v>161</v>
      </c>
      <c r="G4" s="4" t="s">
        <v>438</v>
      </c>
      <c r="H4" s="4" t="s">
        <v>163</v>
      </c>
      <c r="I4" s="4" t="s">
        <v>440</v>
      </c>
    </row>
    <row r="5" ht="27.75" customHeight="1">
      <c r="A5" s="6">
        <v>1.0</v>
      </c>
      <c r="B5" s="8" t="s">
        <v>25</v>
      </c>
      <c r="C5" s="3" t="s">
        <v>446</v>
      </c>
      <c r="D5" s="8" t="s">
        <v>448</v>
      </c>
      <c r="E5" s="8" t="s">
        <v>450</v>
      </c>
      <c r="F5" s="8" t="s">
        <v>42</v>
      </c>
      <c r="G5" s="8" t="s">
        <v>453</v>
      </c>
      <c r="H5" s="25" t="s">
        <v>211</v>
      </c>
      <c r="I5" s="8"/>
    </row>
    <row r="6" ht="27.75" customHeight="1">
      <c r="A6" s="6">
        <v>2.0</v>
      </c>
      <c r="B6" s="8" t="s">
        <v>25</v>
      </c>
      <c r="C6" s="3" t="s">
        <v>461</v>
      </c>
      <c r="D6" s="8" t="s">
        <v>448</v>
      </c>
      <c r="E6" s="8" t="s">
        <v>463</v>
      </c>
      <c r="F6" s="8" t="s">
        <v>42</v>
      </c>
      <c r="G6" s="8" t="s">
        <v>465</v>
      </c>
      <c r="H6" s="25" t="s">
        <v>211</v>
      </c>
      <c r="I6" s="8" t="s">
        <v>467</v>
      </c>
    </row>
    <row r="7" ht="15.0" customHeight="1">
      <c r="A7" s="6">
        <v>3.0</v>
      </c>
      <c r="B7" s="8" t="s">
        <v>25</v>
      </c>
      <c r="C7" s="3" t="s">
        <v>472</v>
      </c>
      <c r="D7" s="8" t="s">
        <v>473</v>
      </c>
      <c r="E7" s="8" t="s">
        <v>474</v>
      </c>
      <c r="F7" s="8" t="s">
        <v>42</v>
      </c>
      <c r="G7" s="8" t="s">
        <v>476</v>
      </c>
      <c r="H7" s="25" t="s">
        <v>211</v>
      </c>
      <c r="I7" s="8" t="s">
        <v>477</v>
      </c>
    </row>
    <row r="8" ht="27.75" customHeight="1">
      <c r="A8" s="6">
        <v>4.0</v>
      </c>
      <c r="B8" s="8" t="s">
        <v>25</v>
      </c>
      <c r="C8" s="3" t="s">
        <v>480</v>
      </c>
      <c r="D8" s="8" t="s">
        <v>481</v>
      </c>
      <c r="E8" s="8" t="s">
        <v>482</v>
      </c>
      <c r="F8" s="8" t="s">
        <v>42</v>
      </c>
      <c r="G8" s="8" t="s">
        <v>483</v>
      </c>
      <c r="H8" s="25" t="s">
        <v>211</v>
      </c>
      <c r="I8" s="8" t="s">
        <v>485</v>
      </c>
    </row>
    <row r="9" ht="27.75" customHeight="1">
      <c r="A9" s="6">
        <v>5.0</v>
      </c>
      <c r="B9" s="8" t="s">
        <v>25</v>
      </c>
      <c r="C9" s="3" t="s">
        <v>486</v>
      </c>
      <c r="D9" s="8" t="s">
        <v>487</v>
      </c>
      <c r="E9" s="8" t="s">
        <v>474</v>
      </c>
      <c r="F9" s="8" t="s">
        <v>42</v>
      </c>
      <c r="G9" s="8" t="s">
        <v>488</v>
      </c>
      <c r="H9" s="25" t="s">
        <v>211</v>
      </c>
      <c r="I9" s="8"/>
    </row>
    <row r="10" ht="15.0" customHeight="1">
      <c r="A10" s="6">
        <v>6.0</v>
      </c>
      <c r="B10" s="8" t="s">
        <v>25</v>
      </c>
      <c r="C10" s="3" t="s">
        <v>489</v>
      </c>
      <c r="D10" s="8" t="s">
        <v>487</v>
      </c>
      <c r="E10" s="8" t="s">
        <v>474</v>
      </c>
      <c r="F10" s="8" t="s">
        <v>42</v>
      </c>
      <c r="G10" s="8" t="s">
        <v>490</v>
      </c>
      <c r="H10" s="25" t="s">
        <v>211</v>
      </c>
      <c r="I10" s="8"/>
    </row>
    <row r="11" ht="27.75" customHeight="1">
      <c r="A11" s="6">
        <v>7.0</v>
      </c>
      <c r="B11" s="8" t="s">
        <v>25</v>
      </c>
      <c r="C11" s="3" t="s">
        <v>491</v>
      </c>
      <c r="D11" s="8" t="s">
        <v>492</v>
      </c>
      <c r="E11" s="8" t="s">
        <v>493</v>
      </c>
      <c r="F11" s="8" t="s">
        <v>42</v>
      </c>
      <c r="G11" s="8" t="s">
        <v>494</v>
      </c>
      <c r="H11" s="25" t="s">
        <v>211</v>
      </c>
      <c r="I11" s="8" t="s">
        <v>495</v>
      </c>
    </row>
    <row r="12" ht="27.75" customHeight="1">
      <c r="A12" s="6">
        <v>8.0</v>
      </c>
      <c r="B12" s="8" t="s">
        <v>25</v>
      </c>
      <c r="C12" s="3" t="s">
        <v>496</v>
      </c>
      <c r="D12" s="8" t="s">
        <v>497</v>
      </c>
      <c r="E12" s="8" t="s">
        <v>474</v>
      </c>
      <c r="F12" s="8" t="s">
        <v>42</v>
      </c>
      <c r="G12" s="8" t="s">
        <v>498</v>
      </c>
      <c r="H12" s="25" t="s">
        <v>211</v>
      </c>
      <c r="I12" s="8"/>
    </row>
    <row r="13" ht="27.75" customHeight="1">
      <c r="A13" s="6">
        <v>9.0</v>
      </c>
      <c r="B13" s="8" t="s">
        <v>25</v>
      </c>
      <c r="C13" s="3" t="s">
        <v>499</v>
      </c>
      <c r="D13" s="8" t="s">
        <v>500</v>
      </c>
      <c r="E13" s="8" t="s">
        <v>474</v>
      </c>
      <c r="F13" s="8" t="s">
        <v>42</v>
      </c>
      <c r="G13" s="8" t="s">
        <v>501</v>
      </c>
      <c r="H13" s="25" t="s">
        <v>211</v>
      </c>
      <c r="I13" s="8"/>
    </row>
    <row r="14" ht="15.0" customHeight="1">
      <c r="A14" s="6">
        <v>10.0</v>
      </c>
      <c r="B14" s="8" t="s">
        <v>25</v>
      </c>
      <c r="C14" s="3" t="s">
        <v>503</v>
      </c>
      <c r="D14" s="8" t="s">
        <v>504</v>
      </c>
      <c r="E14" s="8" t="s">
        <v>474</v>
      </c>
      <c r="F14" s="8" t="s">
        <v>42</v>
      </c>
      <c r="G14" s="8" t="s">
        <v>505</v>
      </c>
      <c r="H14" s="25" t="s">
        <v>211</v>
      </c>
      <c r="I14" s="8"/>
    </row>
    <row r="15" ht="27.75" customHeight="1">
      <c r="A15" s="6">
        <v>11.0</v>
      </c>
      <c r="B15" s="8" t="s">
        <v>25</v>
      </c>
      <c r="C15" s="3" t="s">
        <v>506</v>
      </c>
      <c r="D15" s="8" t="s">
        <v>507</v>
      </c>
      <c r="E15" s="8" t="s">
        <v>474</v>
      </c>
      <c r="F15" s="8" t="s">
        <v>42</v>
      </c>
      <c r="G15" s="8" t="s">
        <v>508</v>
      </c>
      <c r="H15" s="25" t="s">
        <v>211</v>
      </c>
      <c r="I15" s="8" t="s">
        <v>509</v>
      </c>
    </row>
    <row r="16" ht="27.75" customHeight="1">
      <c r="A16" s="6">
        <v>12.0</v>
      </c>
      <c r="B16" s="8" t="s">
        <v>25</v>
      </c>
      <c r="C16" s="3" t="s">
        <v>510</v>
      </c>
      <c r="D16" s="8" t="s">
        <v>507</v>
      </c>
      <c r="E16" s="8" t="s">
        <v>474</v>
      </c>
      <c r="F16" s="8" t="s">
        <v>42</v>
      </c>
      <c r="G16" s="8" t="s">
        <v>508</v>
      </c>
      <c r="H16" s="25" t="s">
        <v>211</v>
      </c>
      <c r="I16" s="8" t="s">
        <v>509</v>
      </c>
    </row>
    <row r="17" ht="27.75" customHeight="1">
      <c r="A17" s="6">
        <v>13.0</v>
      </c>
      <c r="B17" s="8" t="s">
        <v>25</v>
      </c>
      <c r="C17" s="3" t="s">
        <v>511</v>
      </c>
      <c r="D17" s="8" t="s">
        <v>507</v>
      </c>
      <c r="E17" s="8" t="s">
        <v>474</v>
      </c>
      <c r="F17" s="8" t="s">
        <v>42</v>
      </c>
      <c r="G17" s="8" t="s">
        <v>508</v>
      </c>
      <c r="H17" s="25" t="s">
        <v>211</v>
      </c>
      <c r="I17" s="8" t="s">
        <v>509</v>
      </c>
    </row>
    <row r="18" ht="27.75" customHeight="1">
      <c r="A18" s="6">
        <v>14.0</v>
      </c>
      <c r="B18" s="8" t="s">
        <v>25</v>
      </c>
      <c r="C18" s="3" t="s">
        <v>514</v>
      </c>
      <c r="D18" s="8" t="s">
        <v>507</v>
      </c>
      <c r="E18" s="8" t="s">
        <v>474</v>
      </c>
      <c r="F18" s="8" t="s">
        <v>42</v>
      </c>
      <c r="G18" s="8" t="s">
        <v>508</v>
      </c>
      <c r="H18" s="25" t="s">
        <v>211</v>
      </c>
      <c r="I18" s="8" t="s">
        <v>509</v>
      </c>
    </row>
    <row r="19" ht="27.75" customHeight="1">
      <c r="A19" s="6">
        <v>15.0</v>
      </c>
      <c r="B19" s="8" t="s">
        <v>25</v>
      </c>
      <c r="C19" s="3" t="s">
        <v>515</v>
      </c>
      <c r="D19" s="8" t="s">
        <v>507</v>
      </c>
      <c r="E19" s="8" t="s">
        <v>474</v>
      </c>
      <c r="F19" s="8" t="s">
        <v>42</v>
      </c>
      <c r="G19" s="8" t="s">
        <v>508</v>
      </c>
      <c r="H19" s="25" t="s">
        <v>211</v>
      </c>
      <c r="I19" s="8" t="s">
        <v>509</v>
      </c>
    </row>
    <row r="20" ht="15.0" customHeight="1">
      <c r="A20" s="6">
        <v>16.0</v>
      </c>
      <c r="B20" s="8" t="s">
        <v>25</v>
      </c>
      <c r="C20" s="3" t="s">
        <v>516</v>
      </c>
      <c r="D20" s="8" t="s">
        <v>517</v>
      </c>
      <c r="E20" s="8" t="s">
        <v>474</v>
      </c>
      <c r="F20" s="8" t="s">
        <v>42</v>
      </c>
      <c r="G20" s="8" t="s">
        <v>518</v>
      </c>
      <c r="H20" s="25" t="s">
        <v>211</v>
      </c>
      <c r="I20" s="8"/>
    </row>
    <row r="21" ht="27.75" customHeight="1">
      <c r="A21" s="6">
        <v>17.0</v>
      </c>
      <c r="B21" s="8" t="s">
        <v>61</v>
      </c>
      <c r="C21" s="3" t="s">
        <v>519</v>
      </c>
      <c r="D21" s="8" t="s">
        <v>448</v>
      </c>
      <c r="E21" s="8" t="s">
        <v>450</v>
      </c>
      <c r="F21" s="8" t="s">
        <v>75</v>
      </c>
      <c r="G21" s="8" t="s">
        <v>453</v>
      </c>
      <c r="H21" s="25" t="s">
        <v>211</v>
      </c>
      <c r="I21" s="8"/>
    </row>
    <row r="22" ht="27.75" customHeight="1">
      <c r="A22" s="6">
        <v>18.0</v>
      </c>
      <c r="B22" s="8" t="s">
        <v>61</v>
      </c>
      <c r="C22" s="3" t="s">
        <v>520</v>
      </c>
      <c r="D22" s="8" t="s">
        <v>448</v>
      </c>
      <c r="E22" s="8" t="s">
        <v>463</v>
      </c>
      <c r="F22" s="8" t="s">
        <v>75</v>
      </c>
      <c r="G22" s="8" t="s">
        <v>465</v>
      </c>
      <c r="H22" s="25" t="s">
        <v>211</v>
      </c>
      <c r="I22" s="8" t="s">
        <v>467</v>
      </c>
    </row>
    <row r="23" ht="15.0" customHeight="1">
      <c r="A23" s="6">
        <v>19.0</v>
      </c>
      <c r="B23" s="8" t="s">
        <v>61</v>
      </c>
      <c r="C23" s="3" t="s">
        <v>521</v>
      </c>
      <c r="D23" s="8" t="s">
        <v>473</v>
      </c>
      <c r="E23" s="8" t="s">
        <v>474</v>
      </c>
      <c r="F23" s="8" t="s">
        <v>75</v>
      </c>
      <c r="G23" s="8" t="s">
        <v>476</v>
      </c>
      <c r="H23" s="25" t="s">
        <v>211</v>
      </c>
      <c r="I23" s="8" t="s">
        <v>477</v>
      </c>
    </row>
    <row r="24" ht="27.75" customHeight="1">
      <c r="A24" s="6">
        <v>20.0</v>
      </c>
      <c r="B24" s="8" t="s">
        <v>61</v>
      </c>
      <c r="C24" s="3" t="s">
        <v>522</v>
      </c>
      <c r="D24" s="8" t="s">
        <v>481</v>
      </c>
      <c r="E24" s="8" t="s">
        <v>482</v>
      </c>
      <c r="F24" s="8" t="s">
        <v>75</v>
      </c>
      <c r="G24" s="8" t="s">
        <v>483</v>
      </c>
      <c r="H24" s="25" t="s">
        <v>211</v>
      </c>
      <c r="I24" s="8" t="s">
        <v>485</v>
      </c>
    </row>
    <row r="25" ht="27.75" customHeight="1">
      <c r="A25" s="6">
        <v>21.0</v>
      </c>
      <c r="B25" s="8" t="s">
        <v>61</v>
      </c>
      <c r="C25" s="3" t="s">
        <v>523</v>
      </c>
      <c r="D25" s="8" t="s">
        <v>487</v>
      </c>
      <c r="E25" s="8" t="s">
        <v>474</v>
      </c>
      <c r="F25" s="8" t="s">
        <v>75</v>
      </c>
      <c r="G25" s="8" t="s">
        <v>488</v>
      </c>
      <c r="H25" s="25" t="s">
        <v>211</v>
      </c>
      <c r="I25" s="8"/>
    </row>
    <row r="26" ht="15.0" customHeight="1">
      <c r="A26" s="6">
        <v>22.0</v>
      </c>
      <c r="B26" s="8" t="s">
        <v>61</v>
      </c>
      <c r="C26" s="3" t="s">
        <v>524</v>
      </c>
      <c r="D26" s="8" t="s">
        <v>487</v>
      </c>
      <c r="E26" s="8" t="s">
        <v>474</v>
      </c>
      <c r="F26" s="8" t="s">
        <v>75</v>
      </c>
      <c r="G26" s="8" t="s">
        <v>490</v>
      </c>
      <c r="H26" s="25" t="s">
        <v>211</v>
      </c>
      <c r="I26" s="8"/>
    </row>
    <row r="27" ht="27.75" customHeight="1">
      <c r="A27" s="6">
        <v>23.0</v>
      </c>
      <c r="B27" s="8" t="s">
        <v>61</v>
      </c>
      <c r="C27" s="3" t="s">
        <v>525</v>
      </c>
      <c r="D27" s="8" t="s">
        <v>492</v>
      </c>
      <c r="E27" s="8" t="s">
        <v>493</v>
      </c>
      <c r="F27" s="8" t="s">
        <v>75</v>
      </c>
      <c r="G27" s="8" t="s">
        <v>526</v>
      </c>
      <c r="H27" s="25" t="s">
        <v>211</v>
      </c>
      <c r="I27" s="8" t="s">
        <v>495</v>
      </c>
    </row>
    <row r="28" ht="15.0" customHeight="1">
      <c r="A28" s="6">
        <v>24.0</v>
      </c>
      <c r="B28" s="8" t="s">
        <v>61</v>
      </c>
      <c r="C28" s="3" t="s">
        <v>527</v>
      </c>
      <c r="D28" s="8" t="s">
        <v>500</v>
      </c>
      <c r="E28" s="8" t="s">
        <v>474</v>
      </c>
      <c r="F28" s="8" t="s">
        <v>75</v>
      </c>
      <c r="G28" s="8" t="s">
        <v>528</v>
      </c>
      <c r="H28" s="25" t="s">
        <v>211</v>
      </c>
      <c r="I28" s="8"/>
    </row>
    <row r="29" ht="15.0" customHeight="1">
      <c r="A29" s="6">
        <v>25.0</v>
      </c>
      <c r="B29" s="8" t="s">
        <v>61</v>
      </c>
      <c r="C29" s="3" t="s">
        <v>529</v>
      </c>
      <c r="D29" s="8" t="s">
        <v>530</v>
      </c>
      <c r="E29" s="8" t="s">
        <v>474</v>
      </c>
      <c r="F29" s="8" t="s">
        <v>75</v>
      </c>
      <c r="G29" s="8" t="s">
        <v>531</v>
      </c>
      <c r="H29" s="25" t="s">
        <v>211</v>
      </c>
      <c r="I29" s="8"/>
    </row>
    <row r="30" ht="15.0" customHeight="1">
      <c r="A30" s="6">
        <v>26.0</v>
      </c>
      <c r="B30" s="8" t="s">
        <v>61</v>
      </c>
      <c r="C30" s="3" t="s">
        <v>532</v>
      </c>
      <c r="D30" s="8" t="s">
        <v>497</v>
      </c>
      <c r="E30" s="8" t="s">
        <v>474</v>
      </c>
      <c r="F30" s="8" t="s">
        <v>75</v>
      </c>
      <c r="G30" s="8" t="s">
        <v>533</v>
      </c>
      <c r="H30" s="25" t="s">
        <v>211</v>
      </c>
      <c r="I30" s="8"/>
    </row>
    <row r="31" ht="15.0" customHeight="1">
      <c r="A31" s="6">
        <v>27.0</v>
      </c>
      <c r="B31" s="8" t="s">
        <v>61</v>
      </c>
      <c r="C31" s="3" t="s">
        <v>534</v>
      </c>
      <c r="D31" s="8" t="s">
        <v>507</v>
      </c>
      <c r="E31" s="8" t="s">
        <v>474</v>
      </c>
      <c r="F31" s="8" t="s">
        <v>75</v>
      </c>
      <c r="G31" s="8" t="s">
        <v>535</v>
      </c>
      <c r="H31" s="25" t="s">
        <v>211</v>
      </c>
      <c r="I31" s="8" t="s">
        <v>509</v>
      </c>
    </row>
    <row r="32" ht="15.0" customHeight="1">
      <c r="A32" s="6">
        <v>28.0</v>
      </c>
      <c r="B32" s="8" t="s">
        <v>61</v>
      </c>
      <c r="C32" s="3" t="s">
        <v>536</v>
      </c>
      <c r="D32" s="8" t="s">
        <v>507</v>
      </c>
      <c r="E32" s="8" t="s">
        <v>474</v>
      </c>
      <c r="F32" s="8" t="s">
        <v>75</v>
      </c>
      <c r="G32" s="8" t="s">
        <v>535</v>
      </c>
      <c r="H32" s="25" t="s">
        <v>211</v>
      </c>
      <c r="I32" s="8" t="s">
        <v>509</v>
      </c>
    </row>
    <row r="33" ht="15.0" customHeight="1">
      <c r="A33" s="6">
        <v>29.0</v>
      </c>
      <c r="B33" s="8" t="s">
        <v>61</v>
      </c>
      <c r="C33" s="3" t="s">
        <v>537</v>
      </c>
      <c r="D33" s="8" t="s">
        <v>507</v>
      </c>
      <c r="E33" s="8" t="s">
        <v>474</v>
      </c>
      <c r="F33" s="8" t="s">
        <v>75</v>
      </c>
      <c r="G33" s="8" t="s">
        <v>535</v>
      </c>
      <c r="H33" s="25" t="s">
        <v>211</v>
      </c>
      <c r="I33" s="8" t="s">
        <v>509</v>
      </c>
    </row>
    <row r="34" ht="15.0" customHeight="1">
      <c r="A34" s="6">
        <v>30.0</v>
      </c>
      <c r="B34" s="8" t="s">
        <v>61</v>
      </c>
      <c r="C34" s="3" t="s">
        <v>538</v>
      </c>
      <c r="D34" s="8" t="s">
        <v>507</v>
      </c>
      <c r="E34" s="8" t="s">
        <v>474</v>
      </c>
      <c r="F34" s="8" t="s">
        <v>75</v>
      </c>
      <c r="G34" s="8" t="s">
        <v>535</v>
      </c>
      <c r="H34" s="25" t="s">
        <v>211</v>
      </c>
      <c r="I34" s="8" t="s">
        <v>509</v>
      </c>
    </row>
    <row r="35" ht="15.0" customHeight="1">
      <c r="A35" s="6">
        <v>31.0</v>
      </c>
      <c r="B35" s="8" t="s">
        <v>61</v>
      </c>
      <c r="C35" s="3" t="s">
        <v>540</v>
      </c>
      <c r="D35" s="8" t="s">
        <v>507</v>
      </c>
      <c r="E35" s="8" t="s">
        <v>474</v>
      </c>
      <c r="F35" s="8" t="s">
        <v>75</v>
      </c>
      <c r="G35" s="8" t="s">
        <v>535</v>
      </c>
      <c r="H35" s="25" t="s">
        <v>211</v>
      </c>
      <c r="I35" s="8" t="s">
        <v>509</v>
      </c>
    </row>
    <row r="36" ht="27.75" customHeight="1">
      <c r="A36" s="6">
        <v>32.0</v>
      </c>
      <c r="B36" s="8" t="s">
        <v>92</v>
      </c>
      <c r="C36" s="3" t="s">
        <v>544</v>
      </c>
      <c r="D36" s="8" t="s">
        <v>448</v>
      </c>
      <c r="E36" s="8" t="s">
        <v>450</v>
      </c>
      <c r="F36" s="8" t="s">
        <v>106</v>
      </c>
      <c r="G36" s="8" t="s">
        <v>453</v>
      </c>
      <c r="H36" s="26" t="s">
        <v>230</v>
      </c>
      <c r="I36" s="8"/>
    </row>
    <row r="37" ht="27.75" customHeight="1">
      <c r="A37" s="6">
        <v>33.0</v>
      </c>
      <c r="B37" s="8" t="s">
        <v>92</v>
      </c>
      <c r="C37" s="3" t="s">
        <v>549</v>
      </c>
      <c r="D37" s="8" t="s">
        <v>448</v>
      </c>
      <c r="E37" s="8" t="s">
        <v>463</v>
      </c>
      <c r="F37" s="8" t="s">
        <v>106</v>
      </c>
      <c r="G37" s="8" t="s">
        <v>465</v>
      </c>
      <c r="H37" s="26" t="s">
        <v>230</v>
      </c>
      <c r="I37" s="8" t="s">
        <v>467</v>
      </c>
    </row>
    <row r="38" ht="15.0" customHeight="1">
      <c r="A38" s="6">
        <v>34.0</v>
      </c>
      <c r="B38" s="8" t="s">
        <v>92</v>
      </c>
      <c r="C38" s="3" t="s">
        <v>550</v>
      </c>
      <c r="D38" s="8" t="s">
        <v>473</v>
      </c>
      <c r="E38" s="8" t="s">
        <v>474</v>
      </c>
      <c r="F38" s="8" t="s">
        <v>106</v>
      </c>
      <c r="G38" s="8" t="s">
        <v>476</v>
      </c>
      <c r="H38" s="26" t="s">
        <v>230</v>
      </c>
      <c r="I38" s="8" t="s">
        <v>477</v>
      </c>
    </row>
    <row r="39" ht="27.75" customHeight="1">
      <c r="A39" s="6">
        <v>35.0</v>
      </c>
      <c r="B39" s="8" t="s">
        <v>92</v>
      </c>
      <c r="C39" s="3" t="s">
        <v>551</v>
      </c>
      <c r="D39" s="8" t="s">
        <v>481</v>
      </c>
      <c r="E39" s="8" t="s">
        <v>482</v>
      </c>
      <c r="F39" s="8" t="s">
        <v>106</v>
      </c>
      <c r="G39" s="8" t="s">
        <v>483</v>
      </c>
      <c r="H39" s="26" t="s">
        <v>230</v>
      </c>
      <c r="I39" s="8" t="s">
        <v>485</v>
      </c>
    </row>
    <row r="40" ht="27.75" customHeight="1">
      <c r="A40" s="6">
        <v>36.0</v>
      </c>
      <c r="B40" s="8" t="s">
        <v>92</v>
      </c>
      <c r="C40" s="3" t="s">
        <v>552</v>
      </c>
      <c r="D40" s="8" t="s">
        <v>487</v>
      </c>
      <c r="E40" s="8" t="s">
        <v>474</v>
      </c>
      <c r="F40" s="8" t="s">
        <v>106</v>
      </c>
      <c r="G40" s="8" t="s">
        <v>488</v>
      </c>
      <c r="H40" s="26" t="s">
        <v>230</v>
      </c>
      <c r="I40" s="8"/>
    </row>
    <row r="41" ht="15.0" customHeight="1">
      <c r="A41" s="6">
        <v>37.0</v>
      </c>
      <c r="B41" s="8" t="s">
        <v>92</v>
      </c>
      <c r="C41" s="3" t="s">
        <v>553</v>
      </c>
      <c r="D41" s="8" t="s">
        <v>487</v>
      </c>
      <c r="E41" s="8" t="s">
        <v>474</v>
      </c>
      <c r="F41" s="8" t="s">
        <v>106</v>
      </c>
      <c r="G41" s="8" t="s">
        <v>490</v>
      </c>
      <c r="H41" s="26" t="s">
        <v>230</v>
      </c>
      <c r="I41" s="8"/>
    </row>
    <row r="42" ht="27.75" customHeight="1">
      <c r="A42" s="6">
        <v>38.0</v>
      </c>
      <c r="B42" s="8" t="s">
        <v>92</v>
      </c>
      <c r="C42" s="3" t="s">
        <v>554</v>
      </c>
      <c r="D42" s="8" t="s">
        <v>492</v>
      </c>
      <c r="E42" s="8" t="s">
        <v>493</v>
      </c>
      <c r="F42" s="8" t="s">
        <v>106</v>
      </c>
      <c r="G42" s="8" t="s">
        <v>555</v>
      </c>
      <c r="H42" s="26" t="s">
        <v>230</v>
      </c>
      <c r="I42" s="8" t="s">
        <v>495</v>
      </c>
    </row>
    <row r="43" ht="15.0" customHeight="1">
      <c r="A43" s="6">
        <v>39.0</v>
      </c>
      <c r="B43" s="8" t="s">
        <v>92</v>
      </c>
      <c r="C43" s="3" t="s">
        <v>556</v>
      </c>
      <c r="D43" s="8" t="s">
        <v>504</v>
      </c>
      <c r="E43" s="8" t="s">
        <v>474</v>
      </c>
      <c r="F43" s="8" t="s">
        <v>106</v>
      </c>
      <c r="G43" s="8" t="s">
        <v>557</v>
      </c>
      <c r="H43" s="26" t="s">
        <v>230</v>
      </c>
      <c r="I43" s="8"/>
    </row>
    <row r="44" ht="27.75" customHeight="1">
      <c r="A44" s="6">
        <v>40.0</v>
      </c>
      <c r="B44" s="8" t="s">
        <v>92</v>
      </c>
      <c r="C44" s="3" t="s">
        <v>558</v>
      </c>
      <c r="D44" s="8" t="s">
        <v>500</v>
      </c>
      <c r="E44" s="8" t="s">
        <v>474</v>
      </c>
      <c r="F44" s="8" t="s">
        <v>106</v>
      </c>
      <c r="G44" s="8" t="s">
        <v>559</v>
      </c>
      <c r="H44" s="26" t="s">
        <v>230</v>
      </c>
      <c r="I44" s="8"/>
    </row>
    <row r="45" ht="15.0" customHeight="1">
      <c r="A45" s="6">
        <v>41.0</v>
      </c>
      <c r="B45" s="8" t="s">
        <v>92</v>
      </c>
      <c r="C45" s="3" t="s">
        <v>560</v>
      </c>
      <c r="D45" s="8" t="s">
        <v>497</v>
      </c>
      <c r="E45" s="8" t="s">
        <v>474</v>
      </c>
      <c r="F45" s="8" t="s">
        <v>106</v>
      </c>
      <c r="G45" s="8" t="s">
        <v>561</v>
      </c>
      <c r="H45" s="26" t="s">
        <v>230</v>
      </c>
      <c r="I45" s="8"/>
    </row>
    <row r="46" ht="15.0" customHeight="1">
      <c r="A46" s="6">
        <v>42.0</v>
      </c>
      <c r="B46" s="8" t="s">
        <v>92</v>
      </c>
      <c r="C46" s="3" t="s">
        <v>563</v>
      </c>
      <c r="D46" s="8" t="s">
        <v>507</v>
      </c>
      <c r="E46" s="8" t="s">
        <v>474</v>
      </c>
      <c r="F46" s="8" t="s">
        <v>106</v>
      </c>
      <c r="G46" s="8" t="s">
        <v>564</v>
      </c>
      <c r="H46" s="26" t="s">
        <v>230</v>
      </c>
      <c r="I46" s="8" t="s">
        <v>509</v>
      </c>
    </row>
    <row r="47" ht="15.0" customHeight="1">
      <c r="A47" s="6">
        <v>43.0</v>
      </c>
      <c r="B47" s="8" t="s">
        <v>92</v>
      </c>
      <c r="C47" s="3" t="s">
        <v>566</v>
      </c>
      <c r="D47" s="8" t="s">
        <v>507</v>
      </c>
      <c r="E47" s="8" t="s">
        <v>474</v>
      </c>
      <c r="F47" s="8" t="s">
        <v>106</v>
      </c>
      <c r="G47" s="8" t="s">
        <v>564</v>
      </c>
      <c r="H47" s="26" t="s">
        <v>230</v>
      </c>
      <c r="I47" s="8" t="s">
        <v>509</v>
      </c>
    </row>
    <row r="48" ht="15.0" customHeight="1">
      <c r="A48" s="6">
        <v>44.0</v>
      </c>
      <c r="B48" s="8" t="s">
        <v>92</v>
      </c>
      <c r="C48" s="3" t="s">
        <v>567</v>
      </c>
      <c r="D48" s="8" t="s">
        <v>507</v>
      </c>
      <c r="E48" s="8" t="s">
        <v>474</v>
      </c>
      <c r="F48" s="8" t="s">
        <v>106</v>
      </c>
      <c r="G48" s="8" t="s">
        <v>564</v>
      </c>
      <c r="H48" s="26" t="s">
        <v>230</v>
      </c>
      <c r="I48" s="8" t="s">
        <v>509</v>
      </c>
    </row>
    <row r="49" ht="27.75" customHeight="1">
      <c r="A49" s="6">
        <v>45.0</v>
      </c>
      <c r="B49" s="8" t="s">
        <v>126</v>
      </c>
      <c r="C49" s="3" t="s">
        <v>572</v>
      </c>
      <c r="D49" s="8" t="s">
        <v>448</v>
      </c>
      <c r="E49" s="8" t="s">
        <v>450</v>
      </c>
      <c r="F49" s="8" t="s">
        <v>137</v>
      </c>
      <c r="G49" s="8" t="s">
        <v>453</v>
      </c>
      <c r="H49" s="25" t="s">
        <v>211</v>
      </c>
      <c r="I49" s="8"/>
    </row>
    <row r="50" ht="27.75" customHeight="1">
      <c r="A50" s="6">
        <v>46.0</v>
      </c>
      <c r="B50" s="8" t="s">
        <v>126</v>
      </c>
      <c r="C50" s="3" t="s">
        <v>576</v>
      </c>
      <c r="D50" s="8" t="s">
        <v>448</v>
      </c>
      <c r="E50" s="8" t="s">
        <v>463</v>
      </c>
      <c r="F50" s="8" t="s">
        <v>137</v>
      </c>
      <c r="G50" s="8" t="s">
        <v>465</v>
      </c>
      <c r="H50" s="25" t="s">
        <v>211</v>
      </c>
      <c r="I50" s="8" t="s">
        <v>467</v>
      </c>
    </row>
    <row r="51" ht="15.0" customHeight="1">
      <c r="A51" s="6">
        <v>47.0</v>
      </c>
      <c r="B51" s="8" t="s">
        <v>126</v>
      </c>
      <c r="C51" s="3" t="s">
        <v>577</v>
      </c>
      <c r="D51" s="8" t="s">
        <v>473</v>
      </c>
      <c r="E51" s="8" t="s">
        <v>474</v>
      </c>
      <c r="F51" s="8" t="s">
        <v>137</v>
      </c>
      <c r="G51" s="8" t="s">
        <v>476</v>
      </c>
      <c r="H51" s="25" t="s">
        <v>211</v>
      </c>
      <c r="I51" s="8" t="s">
        <v>477</v>
      </c>
    </row>
    <row r="52" ht="27.75" customHeight="1">
      <c r="A52" s="6">
        <v>48.0</v>
      </c>
      <c r="B52" s="8" t="s">
        <v>126</v>
      </c>
      <c r="C52" s="3" t="s">
        <v>582</v>
      </c>
      <c r="D52" s="8" t="s">
        <v>481</v>
      </c>
      <c r="E52" s="8" t="s">
        <v>482</v>
      </c>
      <c r="F52" s="8" t="s">
        <v>137</v>
      </c>
      <c r="G52" s="8" t="s">
        <v>483</v>
      </c>
      <c r="H52" s="25" t="s">
        <v>211</v>
      </c>
      <c r="I52" s="8" t="s">
        <v>485</v>
      </c>
    </row>
    <row r="53" ht="27.75" customHeight="1">
      <c r="A53" s="6">
        <v>49.0</v>
      </c>
      <c r="B53" s="8" t="s">
        <v>126</v>
      </c>
      <c r="C53" s="3" t="s">
        <v>585</v>
      </c>
      <c r="D53" s="8" t="s">
        <v>487</v>
      </c>
      <c r="E53" s="8" t="s">
        <v>474</v>
      </c>
      <c r="F53" s="8" t="s">
        <v>137</v>
      </c>
      <c r="G53" s="8" t="s">
        <v>488</v>
      </c>
      <c r="H53" s="25" t="s">
        <v>211</v>
      </c>
      <c r="I53" s="8"/>
    </row>
    <row r="54" ht="15.0" customHeight="1">
      <c r="A54" s="6">
        <v>50.0</v>
      </c>
      <c r="B54" s="8" t="s">
        <v>126</v>
      </c>
      <c r="C54" s="3" t="s">
        <v>593</v>
      </c>
      <c r="D54" s="8" t="s">
        <v>487</v>
      </c>
      <c r="E54" s="8" t="s">
        <v>474</v>
      </c>
      <c r="F54" s="8" t="s">
        <v>137</v>
      </c>
      <c r="G54" s="8" t="s">
        <v>490</v>
      </c>
      <c r="H54" s="25" t="s">
        <v>211</v>
      </c>
      <c r="I54" s="8"/>
    </row>
    <row r="55" ht="27.75" customHeight="1">
      <c r="A55" s="6">
        <v>51.0</v>
      </c>
      <c r="B55" s="8" t="s">
        <v>126</v>
      </c>
      <c r="C55" s="3" t="s">
        <v>599</v>
      </c>
      <c r="D55" s="8" t="s">
        <v>492</v>
      </c>
      <c r="E55" s="8" t="s">
        <v>493</v>
      </c>
      <c r="F55" s="8" t="s">
        <v>137</v>
      </c>
      <c r="G55" s="8" t="s">
        <v>602</v>
      </c>
      <c r="H55" s="25" t="s">
        <v>211</v>
      </c>
      <c r="I55" s="8" t="s">
        <v>495</v>
      </c>
    </row>
    <row r="56" ht="27.75" customHeight="1">
      <c r="A56" s="6">
        <v>52.0</v>
      </c>
      <c r="B56" s="8" t="s">
        <v>126</v>
      </c>
      <c r="C56" s="3" t="s">
        <v>603</v>
      </c>
      <c r="D56" s="8" t="s">
        <v>604</v>
      </c>
      <c r="E56" s="8" t="s">
        <v>474</v>
      </c>
      <c r="F56" s="8" t="s">
        <v>137</v>
      </c>
      <c r="G56" s="8" t="s">
        <v>606</v>
      </c>
      <c r="H56" s="25" t="s">
        <v>211</v>
      </c>
      <c r="I56" s="8"/>
    </row>
    <row r="57" ht="15.0" customHeight="1">
      <c r="A57" s="6">
        <v>53.0</v>
      </c>
      <c r="B57" s="8" t="s">
        <v>126</v>
      </c>
      <c r="C57" s="3" t="s">
        <v>610</v>
      </c>
      <c r="D57" s="8" t="s">
        <v>500</v>
      </c>
      <c r="E57" s="8" t="s">
        <v>474</v>
      </c>
      <c r="F57" s="8" t="s">
        <v>137</v>
      </c>
      <c r="G57" s="8" t="s">
        <v>613</v>
      </c>
      <c r="H57" s="25" t="s">
        <v>211</v>
      </c>
      <c r="I57" s="8"/>
    </row>
    <row r="58" ht="15.0" customHeight="1">
      <c r="A58" s="6">
        <v>54.0</v>
      </c>
      <c r="B58" s="8" t="s">
        <v>126</v>
      </c>
      <c r="C58" s="3" t="s">
        <v>617</v>
      </c>
      <c r="D58" s="8" t="s">
        <v>497</v>
      </c>
      <c r="E58" s="8" t="s">
        <v>474</v>
      </c>
      <c r="F58" s="8" t="s">
        <v>137</v>
      </c>
      <c r="G58" s="8" t="s">
        <v>621</v>
      </c>
      <c r="H58" s="25" t="s">
        <v>211</v>
      </c>
      <c r="I58" s="8"/>
    </row>
    <row r="59" ht="15.0" customHeight="1">
      <c r="A59" s="6">
        <v>55.0</v>
      </c>
      <c r="B59" s="8" t="s">
        <v>126</v>
      </c>
      <c r="C59" s="3" t="s">
        <v>625</v>
      </c>
      <c r="D59" s="8" t="s">
        <v>507</v>
      </c>
      <c r="E59" s="8" t="s">
        <v>474</v>
      </c>
      <c r="F59" s="8" t="s">
        <v>137</v>
      </c>
      <c r="G59" s="8" t="s">
        <v>628</v>
      </c>
      <c r="H59" s="25" t="s">
        <v>211</v>
      </c>
      <c r="I59" s="8" t="s">
        <v>509</v>
      </c>
    </row>
    <row r="60" ht="15.0" customHeight="1">
      <c r="A60" s="6">
        <v>56.0</v>
      </c>
      <c r="B60" s="8" t="s">
        <v>126</v>
      </c>
      <c r="C60" s="3" t="s">
        <v>635</v>
      </c>
      <c r="D60" s="8" t="s">
        <v>507</v>
      </c>
      <c r="E60" s="8" t="s">
        <v>474</v>
      </c>
      <c r="F60" s="8" t="s">
        <v>137</v>
      </c>
      <c r="G60" s="8" t="s">
        <v>628</v>
      </c>
      <c r="H60" s="25" t="s">
        <v>211</v>
      </c>
      <c r="I60" s="8" t="s">
        <v>509</v>
      </c>
    </row>
    <row r="61" ht="15.0" customHeight="1">
      <c r="A61" s="6">
        <v>57.0</v>
      </c>
      <c r="B61" s="8" t="s">
        <v>126</v>
      </c>
      <c r="C61" s="3" t="s">
        <v>641</v>
      </c>
      <c r="D61" s="8" t="s">
        <v>507</v>
      </c>
      <c r="E61" s="8" t="s">
        <v>474</v>
      </c>
      <c r="F61" s="8" t="s">
        <v>137</v>
      </c>
      <c r="G61" s="8" t="s">
        <v>628</v>
      </c>
      <c r="H61" s="25" t="s">
        <v>211</v>
      </c>
      <c r="I61" s="8" t="s">
        <v>509</v>
      </c>
    </row>
    <row r="62" ht="15.0" customHeight="1">
      <c r="A62" s="6">
        <v>58.0</v>
      </c>
      <c r="B62" s="8" t="s">
        <v>126</v>
      </c>
      <c r="C62" s="3" t="s">
        <v>644</v>
      </c>
      <c r="D62" s="8" t="s">
        <v>507</v>
      </c>
      <c r="E62" s="8" t="s">
        <v>474</v>
      </c>
      <c r="F62" s="8" t="s">
        <v>137</v>
      </c>
      <c r="G62" s="8" t="s">
        <v>628</v>
      </c>
      <c r="H62" s="25" t="s">
        <v>211</v>
      </c>
      <c r="I62" s="8" t="s">
        <v>509</v>
      </c>
    </row>
    <row r="63" ht="27.75" customHeight="1">
      <c r="A63" s="6">
        <v>59.0</v>
      </c>
      <c r="B63" s="8" t="s">
        <v>151</v>
      </c>
      <c r="C63" s="3" t="s">
        <v>648</v>
      </c>
      <c r="D63" s="8" t="s">
        <v>448</v>
      </c>
      <c r="E63" s="8" t="s">
        <v>450</v>
      </c>
      <c r="F63" s="8" t="s">
        <v>165</v>
      </c>
      <c r="G63" s="8" t="s">
        <v>453</v>
      </c>
      <c r="H63" s="26" t="s">
        <v>230</v>
      </c>
      <c r="I63" s="8"/>
    </row>
    <row r="64" ht="27.75" customHeight="1">
      <c r="A64" s="6">
        <v>60.0</v>
      </c>
      <c r="B64" s="8" t="s">
        <v>151</v>
      </c>
      <c r="C64" s="3" t="s">
        <v>654</v>
      </c>
      <c r="D64" s="8" t="s">
        <v>448</v>
      </c>
      <c r="E64" s="8" t="s">
        <v>463</v>
      </c>
      <c r="F64" s="8" t="s">
        <v>165</v>
      </c>
      <c r="G64" s="8" t="s">
        <v>465</v>
      </c>
      <c r="H64" s="26" t="s">
        <v>230</v>
      </c>
      <c r="I64" s="8" t="s">
        <v>467</v>
      </c>
    </row>
    <row r="65" ht="15.0" customHeight="1">
      <c r="A65" s="6">
        <v>61.0</v>
      </c>
      <c r="B65" s="8" t="s">
        <v>151</v>
      </c>
      <c r="C65" s="3" t="s">
        <v>658</v>
      </c>
      <c r="D65" s="8" t="s">
        <v>473</v>
      </c>
      <c r="E65" s="8" t="s">
        <v>474</v>
      </c>
      <c r="F65" s="8" t="s">
        <v>165</v>
      </c>
      <c r="G65" s="8" t="s">
        <v>476</v>
      </c>
      <c r="H65" s="26" t="s">
        <v>230</v>
      </c>
      <c r="I65" s="8" t="s">
        <v>477</v>
      </c>
    </row>
    <row r="66" ht="27.75" customHeight="1">
      <c r="A66" s="6">
        <v>62.0</v>
      </c>
      <c r="B66" s="8" t="s">
        <v>151</v>
      </c>
      <c r="C66" s="3" t="s">
        <v>664</v>
      </c>
      <c r="D66" s="8" t="s">
        <v>481</v>
      </c>
      <c r="E66" s="8" t="s">
        <v>482</v>
      </c>
      <c r="F66" s="8" t="s">
        <v>165</v>
      </c>
      <c r="G66" s="8" t="s">
        <v>483</v>
      </c>
      <c r="H66" s="26" t="s">
        <v>230</v>
      </c>
      <c r="I66" s="8" t="s">
        <v>485</v>
      </c>
    </row>
    <row r="67" ht="27.75" customHeight="1">
      <c r="A67" s="6">
        <v>63.0</v>
      </c>
      <c r="B67" s="8" t="s">
        <v>151</v>
      </c>
      <c r="C67" s="3" t="s">
        <v>669</v>
      </c>
      <c r="D67" s="8" t="s">
        <v>487</v>
      </c>
      <c r="E67" s="8" t="s">
        <v>474</v>
      </c>
      <c r="F67" s="8" t="s">
        <v>165</v>
      </c>
      <c r="G67" s="8" t="s">
        <v>488</v>
      </c>
      <c r="H67" s="26" t="s">
        <v>230</v>
      </c>
      <c r="I67" s="8"/>
    </row>
    <row r="68" ht="15.0" customHeight="1">
      <c r="A68" s="6">
        <v>64.0</v>
      </c>
      <c r="B68" s="8" t="s">
        <v>151</v>
      </c>
      <c r="C68" s="3" t="s">
        <v>676</v>
      </c>
      <c r="D68" s="8" t="s">
        <v>487</v>
      </c>
      <c r="E68" s="8" t="s">
        <v>474</v>
      </c>
      <c r="F68" s="8" t="s">
        <v>165</v>
      </c>
      <c r="G68" s="8" t="s">
        <v>490</v>
      </c>
      <c r="H68" s="26" t="s">
        <v>230</v>
      </c>
      <c r="I68" s="8"/>
    </row>
    <row r="69" ht="27.75" customHeight="1">
      <c r="A69" s="6">
        <v>65.0</v>
      </c>
      <c r="B69" s="8" t="s">
        <v>151</v>
      </c>
      <c r="C69" s="3" t="s">
        <v>683</v>
      </c>
      <c r="D69" s="8" t="s">
        <v>492</v>
      </c>
      <c r="E69" s="8" t="s">
        <v>493</v>
      </c>
      <c r="F69" s="8" t="s">
        <v>165</v>
      </c>
      <c r="G69" s="8" t="s">
        <v>685</v>
      </c>
      <c r="H69" s="26" t="s">
        <v>230</v>
      </c>
      <c r="I69" s="8" t="s">
        <v>495</v>
      </c>
    </row>
    <row r="70" ht="15.0" customHeight="1">
      <c r="A70" s="6">
        <v>66.0</v>
      </c>
      <c r="B70" s="8" t="s">
        <v>151</v>
      </c>
      <c r="C70" s="3" t="s">
        <v>691</v>
      </c>
      <c r="D70" s="8" t="s">
        <v>500</v>
      </c>
      <c r="E70" s="8" t="s">
        <v>474</v>
      </c>
      <c r="F70" s="8" t="s">
        <v>165</v>
      </c>
      <c r="G70" s="8" t="s">
        <v>695</v>
      </c>
      <c r="H70" s="26" t="s">
        <v>230</v>
      </c>
      <c r="I70" s="8"/>
    </row>
    <row r="71" ht="15.0" customHeight="1">
      <c r="A71" s="6">
        <v>67.0</v>
      </c>
      <c r="B71" s="8" t="s">
        <v>151</v>
      </c>
      <c r="C71" s="3" t="s">
        <v>698</v>
      </c>
      <c r="D71" s="8" t="s">
        <v>500</v>
      </c>
      <c r="E71" s="8" t="s">
        <v>474</v>
      </c>
      <c r="F71" s="8" t="s">
        <v>165</v>
      </c>
      <c r="G71" s="8" t="s">
        <v>700</v>
      </c>
      <c r="H71" s="26" t="s">
        <v>230</v>
      </c>
      <c r="I71" s="8"/>
    </row>
    <row r="72" ht="15.0" customHeight="1">
      <c r="A72" s="6">
        <v>68.0</v>
      </c>
      <c r="B72" s="8" t="s">
        <v>151</v>
      </c>
      <c r="C72" s="3" t="s">
        <v>701</v>
      </c>
      <c r="D72" s="8" t="s">
        <v>703</v>
      </c>
      <c r="E72" s="8" t="s">
        <v>474</v>
      </c>
      <c r="F72" s="8" t="s">
        <v>165</v>
      </c>
      <c r="G72" s="8" t="s">
        <v>707</v>
      </c>
      <c r="H72" s="26" t="s">
        <v>230</v>
      </c>
      <c r="I72" s="8"/>
    </row>
    <row r="73" ht="15.0" customHeight="1">
      <c r="A73" s="6">
        <v>69.0</v>
      </c>
      <c r="B73" s="8" t="s">
        <v>151</v>
      </c>
      <c r="C73" s="3" t="s">
        <v>708</v>
      </c>
      <c r="D73" s="8" t="s">
        <v>507</v>
      </c>
      <c r="E73" s="8" t="s">
        <v>474</v>
      </c>
      <c r="F73" s="8" t="s">
        <v>165</v>
      </c>
      <c r="G73" s="8" t="s">
        <v>710</v>
      </c>
      <c r="H73" s="26" t="s">
        <v>230</v>
      </c>
      <c r="I73" s="8" t="s">
        <v>509</v>
      </c>
    </row>
    <row r="74" ht="15.0" customHeight="1">
      <c r="A74" s="6">
        <v>70.0</v>
      </c>
      <c r="B74" s="8" t="s">
        <v>151</v>
      </c>
      <c r="C74" s="3" t="s">
        <v>711</v>
      </c>
      <c r="D74" s="8" t="s">
        <v>507</v>
      </c>
      <c r="E74" s="8" t="s">
        <v>474</v>
      </c>
      <c r="F74" s="8" t="s">
        <v>165</v>
      </c>
      <c r="G74" s="8" t="s">
        <v>710</v>
      </c>
      <c r="H74" s="26" t="s">
        <v>230</v>
      </c>
      <c r="I74" s="8" t="s">
        <v>509</v>
      </c>
    </row>
    <row r="75" ht="15.0" customHeight="1">
      <c r="A75" s="6">
        <v>71.0</v>
      </c>
      <c r="B75" s="8" t="s">
        <v>151</v>
      </c>
      <c r="C75" s="3" t="s">
        <v>714</v>
      </c>
      <c r="D75" s="8" t="s">
        <v>507</v>
      </c>
      <c r="E75" s="8" t="s">
        <v>474</v>
      </c>
      <c r="F75" s="8" t="s">
        <v>165</v>
      </c>
      <c r="G75" s="8" t="s">
        <v>710</v>
      </c>
      <c r="H75" s="26" t="s">
        <v>230</v>
      </c>
      <c r="I75" s="8" t="s">
        <v>509</v>
      </c>
    </row>
    <row r="76" ht="27.75" customHeight="1">
      <c r="A76" s="6">
        <v>72.0</v>
      </c>
      <c r="B76" s="8" t="s">
        <v>715</v>
      </c>
      <c r="C76" s="3" t="s">
        <v>716</v>
      </c>
      <c r="D76" s="8" t="s">
        <v>448</v>
      </c>
      <c r="E76" s="8" t="s">
        <v>450</v>
      </c>
      <c r="F76" s="8" t="s">
        <v>180</v>
      </c>
      <c r="G76" s="8" t="s">
        <v>453</v>
      </c>
      <c r="H76" s="29" t="s">
        <v>250</v>
      </c>
      <c r="I76" s="8"/>
    </row>
    <row r="77" ht="27.75" customHeight="1">
      <c r="A77" s="6">
        <v>73.0</v>
      </c>
      <c r="B77" s="8" t="s">
        <v>715</v>
      </c>
      <c r="C77" s="3" t="s">
        <v>719</v>
      </c>
      <c r="D77" s="8" t="s">
        <v>448</v>
      </c>
      <c r="E77" s="8" t="s">
        <v>463</v>
      </c>
      <c r="F77" s="8" t="s">
        <v>180</v>
      </c>
      <c r="G77" s="8" t="s">
        <v>465</v>
      </c>
      <c r="H77" s="29" t="s">
        <v>250</v>
      </c>
      <c r="I77" s="8" t="s">
        <v>467</v>
      </c>
    </row>
    <row r="78" ht="15.0" customHeight="1">
      <c r="A78" s="6">
        <v>74.0</v>
      </c>
      <c r="B78" s="8" t="s">
        <v>715</v>
      </c>
      <c r="C78" s="3" t="s">
        <v>722</v>
      </c>
      <c r="D78" s="8" t="s">
        <v>473</v>
      </c>
      <c r="E78" s="8" t="s">
        <v>474</v>
      </c>
      <c r="F78" s="8" t="s">
        <v>180</v>
      </c>
      <c r="G78" s="8" t="s">
        <v>476</v>
      </c>
      <c r="H78" s="29" t="s">
        <v>250</v>
      </c>
      <c r="I78" s="8" t="s">
        <v>477</v>
      </c>
    </row>
    <row r="79" ht="27.75" customHeight="1">
      <c r="A79" s="6">
        <v>75.0</v>
      </c>
      <c r="B79" s="8" t="s">
        <v>715</v>
      </c>
      <c r="C79" s="3" t="s">
        <v>723</v>
      </c>
      <c r="D79" s="8" t="s">
        <v>481</v>
      </c>
      <c r="E79" s="8" t="s">
        <v>482</v>
      </c>
      <c r="F79" s="8" t="s">
        <v>180</v>
      </c>
      <c r="G79" s="8" t="s">
        <v>483</v>
      </c>
      <c r="H79" s="29" t="s">
        <v>250</v>
      </c>
      <c r="I79" s="8" t="s">
        <v>485</v>
      </c>
    </row>
    <row r="80" ht="27.75" customHeight="1">
      <c r="A80" s="6">
        <v>76.0</v>
      </c>
      <c r="B80" s="8" t="s">
        <v>715</v>
      </c>
      <c r="C80" s="3" t="s">
        <v>726</v>
      </c>
      <c r="D80" s="8" t="s">
        <v>487</v>
      </c>
      <c r="E80" s="8" t="s">
        <v>474</v>
      </c>
      <c r="F80" s="8" t="s">
        <v>180</v>
      </c>
      <c r="G80" s="8" t="s">
        <v>488</v>
      </c>
      <c r="H80" s="29" t="s">
        <v>250</v>
      </c>
      <c r="I80" s="8"/>
    </row>
    <row r="81" ht="15.0" customHeight="1">
      <c r="A81" s="6">
        <v>77.0</v>
      </c>
      <c r="B81" s="8" t="s">
        <v>715</v>
      </c>
      <c r="C81" s="3" t="s">
        <v>735</v>
      </c>
      <c r="D81" s="8" t="s">
        <v>487</v>
      </c>
      <c r="E81" s="8" t="s">
        <v>474</v>
      </c>
      <c r="F81" s="8" t="s">
        <v>180</v>
      </c>
      <c r="G81" s="8" t="s">
        <v>490</v>
      </c>
      <c r="H81" s="29" t="s">
        <v>250</v>
      </c>
      <c r="I81" s="8"/>
    </row>
    <row r="82" ht="27.75" customHeight="1">
      <c r="A82" s="6">
        <v>78.0</v>
      </c>
      <c r="B82" s="8" t="s">
        <v>715</v>
      </c>
      <c r="C82" s="3" t="s">
        <v>740</v>
      </c>
      <c r="D82" s="8" t="s">
        <v>492</v>
      </c>
      <c r="E82" s="8" t="s">
        <v>493</v>
      </c>
      <c r="F82" s="8" t="s">
        <v>180</v>
      </c>
      <c r="G82" s="8" t="s">
        <v>742</v>
      </c>
      <c r="H82" s="29" t="s">
        <v>250</v>
      </c>
      <c r="I82" s="8" t="s">
        <v>495</v>
      </c>
    </row>
    <row r="83" ht="27.75" customHeight="1">
      <c r="A83" s="6">
        <v>79.0</v>
      </c>
      <c r="B83" s="8" t="s">
        <v>715</v>
      </c>
      <c r="C83" s="3" t="s">
        <v>745</v>
      </c>
      <c r="D83" s="8" t="s">
        <v>746</v>
      </c>
      <c r="E83" s="8" t="s">
        <v>474</v>
      </c>
      <c r="F83" s="8" t="s">
        <v>180</v>
      </c>
      <c r="G83" s="8" t="s">
        <v>747</v>
      </c>
      <c r="H83" s="29" t="s">
        <v>250</v>
      </c>
      <c r="I83" s="8"/>
    </row>
    <row r="84" ht="15.0" customHeight="1">
      <c r="A84" s="6">
        <v>80.0</v>
      </c>
      <c r="B84" s="8" t="s">
        <v>715</v>
      </c>
      <c r="C84" s="3" t="s">
        <v>748</v>
      </c>
      <c r="D84" s="8" t="s">
        <v>504</v>
      </c>
      <c r="E84" s="8" t="s">
        <v>474</v>
      </c>
      <c r="F84" s="8" t="s">
        <v>180</v>
      </c>
      <c r="G84" s="8" t="s">
        <v>749</v>
      </c>
      <c r="H84" s="29" t="s">
        <v>250</v>
      </c>
      <c r="I84" s="8"/>
    </row>
    <row r="85" ht="15.0" customHeight="1">
      <c r="A85" s="6">
        <v>81.0</v>
      </c>
      <c r="B85" s="8" t="s">
        <v>715</v>
      </c>
      <c r="C85" s="3" t="s">
        <v>750</v>
      </c>
      <c r="D85" s="8" t="s">
        <v>507</v>
      </c>
      <c r="E85" s="8" t="s">
        <v>474</v>
      </c>
      <c r="F85" s="8" t="s">
        <v>180</v>
      </c>
      <c r="G85" s="8" t="s">
        <v>751</v>
      </c>
      <c r="H85" s="29" t="s">
        <v>250</v>
      </c>
      <c r="I85" s="8" t="s">
        <v>509</v>
      </c>
    </row>
    <row r="86" ht="15.0" customHeight="1">
      <c r="A86" s="6">
        <v>82.0</v>
      </c>
      <c r="B86" s="8" t="s">
        <v>715</v>
      </c>
      <c r="C86" s="3" t="s">
        <v>752</v>
      </c>
      <c r="D86" s="8" t="s">
        <v>507</v>
      </c>
      <c r="E86" s="8" t="s">
        <v>474</v>
      </c>
      <c r="F86" s="8" t="s">
        <v>180</v>
      </c>
      <c r="G86" s="8" t="s">
        <v>751</v>
      </c>
      <c r="H86" s="29" t="s">
        <v>250</v>
      </c>
      <c r="I86" s="8" t="s">
        <v>509</v>
      </c>
    </row>
    <row r="87" ht="15.0" customHeight="1">
      <c r="A87" s="6">
        <v>83.0</v>
      </c>
      <c r="B87" s="8" t="s">
        <v>715</v>
      </c>
      <c r="C87" s="3" t="s">
        <v>753</v>
      </c>
      <c r="D87" s="8" t="s">
        <v>507</v>
      </c>
      <c r="E87" s="8" t="s">
        <v>474</v>
      </c>
      <c r="F87" s="8" t="s">
        <v>180</v>
      </c>
      <c r="G87" s="8" t="s">
        <v>751</v>
      </c>
      <c r="H87" s="29" t="s">
        <v>250</v>
      </c>
      <c r="I87" s="8" t="s">
        <v>509</v>
      </c>
    </row>
    <row r="88" ht="27.75" customHeight="1">
      <c r="A88" s="6">
        <v>84.0</v>
      </c>
      <c r="B88" s="8" t="s">
        <v>754</v>
      </c>
      <c r="C88" s="3" t="s">
        <v>755</v>
      </c>
      <c r="D88" s="8" t="s">
        <v>448</v>
      </c>
      <c r="E88" s="8" t="s">
        <v>474</v>
      </c>
      <c r="F88" s="8" t="s">
        <v>756</v>
      </c>
      <c r="G88" s="8" t="s">
        <v>757</v>
      </c>
      <c r="H88" s="25" t="s">
        <v>211</v>
      </c>
      <c r="I88" s="8" t="s">
        <v>758</v>
      </c>
    </row>
    <row r="89" ht="27.75" customHeight="1">
      <c r="A89" s="6">
        <v>85.0</v>
      </c>
      <c r="B89" s="8" t="s">
        <v>754</v>
      </c>
      <c r="C89" s="3" t="s">
        <v>759</v>
      </c>
      <c r="D89" s="8" t="s">
        <v>448</v>
      </c>
      <c r="E89" s="8" t="s">
        <v>474</v>
      </c>
      <c r="F89" s="8" t="s">
        <v>756</v>
      </c>
      <c r="G89" s="8" t="s">
        <v>760</v>
      </c>
      <c r="H89" s="25" t="s">
        <v>211</v>
      </c>
      <c r="I89" s="8" t="s">
        <v>758</v>
      </c>
    </row>
    <row r="90" ht="27.75" customHeight="1">
      <c r="A90" s="6">
        <v>86.0</v>
      </c>
      <c r="B90" s="8" t="s">
        <v>761</v>
      </c>
      <c r="C90" s="3" t="s">
        <v>762</v>
      </c>
      <c r="D90" s="8" t="s">
        <v>448</v>
      </c>
      <c r="E90" s="8" t="s">
        <v>474</v>
      </c>
      <c r="F90" s="8" t="s">
        <v>763</v>
      </c>
      <c r="G90" s="8" t="s">
        <v>757</v>
      </c>
      <c r="H90" s="29" t="s">
        <v>250</v>
      </c>
      <c r="I90" s="8" t="s">
        <v>758</v>
      </c>
    </row>
    <row r="91" ht="27.75" customHeight="1">
      <c r="A91" s="6">
        <v>87.0</v>
      </c>
      <c r="B91" s="8" t="s">
        <v>761</v>
      </c>
      <c r="C91" s="3" t="s">
        <v>764</v>
      </c>
      <c r="D91" s="8" t="s">
        <v>448</v>
      </c>
      <c r="E91" s="8" t="s">
        <v>474</v>
      </c>
      <c r="F91" s="8" t="s">
        <v>763</v>
      </c>
      <c r="G91" s="8" t="s">
        <v>760</v>
      </c>
      <c r="H91" s="29" t="s">
        <v>250</v>
      </c>
      <c r="I91" s="8" t="s">
        <v>758</v>
      </c>
    </row>
    <row r="92" ht="15.0" customHeight="1">
      <c r="A92" s="6">
        <v>88.0</v>
      </c>
      <c r="B92" s="8" t="s">
        <v>765</v>
      </c>
      <c r="C92" s="3" t="s">
        <v>766</v>
      </c>
      <c r="D92" s="8" t="s">
        <v>767</v>
      </c>
      <c r="E92" s="8" t="s">
        <v>474</v>
      </c>
      <c r="F92" s="8" t="str">
        <f>IF(LEFT('1. Decision Summary'!$C$5,8)="Option A","/itanagar/","/naharlagun/")</f>
        <v>/itanagar/</v>
      </c>
      <c r="G92" s="8" t="s">
        <v>769</v>
      </c>
      <c r="H92" s="29" t="s">
        <v>250</v>
      </c>
      <c r="I92" s="8" t="s">
        <v>772</v>
      </c>
    </row>
    <row r="93" ht="15.0" customHeight="1">
      <c r="A93" s="6">
        <v>89.0</v>
      </c>
      <c r="B93" s="8" t="s">
        <v>765</v>
      </c>
      <c r="C93" s="3" t="s">
        <v>775</v>
      </c>
      <c r="D93" s="8" t="s">
        <v>767</v>
      </c>
      <c r="E93" s="8" t="s">
        <v>474</v>
      </c>
      <c r="F93" s="8" t="str">
        <f>IF(LEFT('1. Decision Summary'!$C$5,8)="Option A","/itanagar/","/naharlagun/")</f>
        <v>/itanagar/</v>
      </c>
      <c r="G93" s="8" t="s">
        <v>769</v>
      </c>
      <c r="H93" s="29" t="s">
        <v>250</v>
      </c>
      <c r="I93" s="8" t="s">
        <v>772</v>
      </c>
    </row>
    <row r="94" ht="27.75" customHeight="1">
      <c r="A94" s="6">
        <v>90.0</v>
      </c>
      <c r="B94" s="8" t="s">
        <v>780</v>
      </c>
      <c r="C94" s="3" t="s">
        <v>781</v>
      </c>
      <c r="D94" s="8" t="s">
        <v>767</v>
      </c>
      <c r="E94" s="8" t="s">
        <v>474</v>
      </c>
      <c r="F94" s="8" t="str">
        <f>IF(LEFT('1. Decision Summary'!$C$5,8)="Option A","/market-area/arunachal-pradesh/","/pasighat/")</f>
        <v>/market-area/arunachal-pradesh/</v>
      </c>
      <c r="G94" s="8" t="s">
        <v>784</v>
      </c>
      <c r="H94" s="29" t="s">
        <v>250</v>
      </c>
      <c r="I94" s="8" t="s">
        <v>772</v>
      </c>
    </row>
    <row r="95" ht="27.75" customHeight="1">
      <c r="A95" s="6">
        <v>91.0</v>
      </c>
      <c r="B95" s="8" t="s">
        <v>780</v>
      </c>
      <c r="C95" s="3" t="s">
        <v>785</v>
      </c>
      <c r="D95" s="8" t="s">
        <v>767</v>
      </c>
      <c r="E95" s="8" t="s">
        <v>474</v>
      </c>
      <c r="F95" s="8" t="str">
        <f>IF(LEFT('1. Decision Summary'!$C$5,8)="Option A","/market-area/arunachal-pradesh/","/pasighat/")</f>
        <v>/market-area/arunachal-pradesh/</v>
      </c>
      <c r="G95" s="8" t="s">
        <v>784</v>
      </c>
      <c r="H95" s="29" t="s">
        <v>250</v>
      </c>
      <c r="I95" s="8" t="s">
        <v>772</v>
      </c>
    </row>
    <row r="96" ht="27.75" customHeight="1">
      <c r="A96" s="6">
        <v>92.0</v>
      </c>
      <c r="B96" s="8" t="s">
        <v>787</v>
      </c>
      <c r="C96" s="3" t="s">
        <v>788</v>
      </c>
      <c r="D96" s="8" t="s">
        <v>767</v>
      </c>
      <c r="E96" s="8" t="s">
        <v>474</v>
      </c>
      <c r="F96" s="8" t="str">
        <f>IF(LEFT('1. Decision Summary'!$C$5,8)="Option A","/market-area/arunachal-pradesh/","/tawang/")</f>
        <v>/market-area/arunachal-pradesh/</v>
      </c>
      <c r="G96" s="8" t="s">
        <v>800</v>
      </c>
      <c r="H96" s="29" t="s">
        <v>250</v>
      </c>
      <c r="I96" s="8" t="s">
        <v>772</v>
      </c>
    </row>
    <row r="97" ht="27.75" customHeight="1">
      <c r="A97" s="6">
        <v>93.0</v>
      </c>
      <c r="B97" s="8" t="s">
        <v>787</v>
      </c>
      <c r="C97" s="3" t="s">
        <v>806</v>
      </c>
      <c r="D97" s="8" t="s">
        <v>767</v>
      </c>
      <c r="E97" s="8" t="s">
        <v>474</v>
      </c>
      <c r="F97" s="8" t="str">
        <f>IF(LEFT('1. Decision Summary'!$C$5,8)="Option A","/market-area/arunachal-pradesh/","/tawang/")</f>
        <v>/market-area/arunachal-pradesh/</v>
      </c>
      <c r="G97" s="8" t="s">
        <v>800</v>
      </c>
      <c r="H97" s="29" t="s">
        <v>250</v>
      </c>
      <c r="I97" s="8" t="s">
        <v>772</v>
      </c>
    </row>
    <row r="98" ht="27.75" customHeight="1">
      <c r="A98" s="6">
        <v>94.0</v>
      </c>
      <c r="B98" s="8" t="s">
        <v>813</v>
      </c>
      <c r="C98" s="3" t="s">
        <v>814</v>
      </c>
      <c r="D98" s="8" t="s">
        <v>767</v>
      </c>
      <c r="E98" s="8" t="s">
        <v>474</v>
      </c>
      <c r="F98" s="8" t="str">
        <f>IF(LEFT('1. Decision Summary'!$C$5,8)="Option A","/market-area/arunachal-pradesh/","/ziro/")</f>
        <v>/market-area/arunachal-pradesh/</v>
      </c>
      <c r="G98" s="8" t="s">
        <v>815</v>
      </c>
      <c r="H98" s="29" t="s">
        <v>250</v>
      </c>
      <c r="I98" s="8" t="s">
        <v>772</v>
      </c>
    </row>
    <row r="99" ht="27.75" customHeight="1">
      <c r="A99" s="6">
        <v>95.0</v>
      </c>
      <c r="B99" s="8" t="s">
        <v>813</v>
      </c>
      <c r="C99" s="3" t="s">
        <v>816</v>
      </c>
      <c r="D99" s="8" t="s">
        <v>767</v>
      </c>
      <c r="E99" s="8" t="s">
        <v>474</v>
      </c>
      <c r="F99" s="8" t="str">
        <f>IF(LEFT('1. Decision Summary'!$C$5,8)="Option A","/market-area/arunachal-pradesh/","/ziro/")</f>
        <v>/market-area/arunachal-pradesh/</v>
      </c>
      <c r="G99" s="8" t="s">
        <v>815</v>
      </c>
      <c r="H99" s="29" t="s">
        <v>250</v>
      </c>
      <c r="I99" s="8" t="s">
        <v>772</v>
      </c>
    </row>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fitToPage="1"/>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11.0"/>
    <col customWidth="1" min="2" max="2" width="20.0"/>
    <col customWidth="1" min="3" max="3" width="34.0"/>
    <col customWidth="1" min="4" max="4" width="16.0"/>
    <col customWidth="1" min="5" max="5" width="8.0"/>
    <col customWidth="1" min="6" max="6" width="40.0"/>
    <col customWidth="1" min="7" max="7" width="7.0"/>
    <col customWidth="1" min="8" max="8" width="10.0"/>
    <col customWidth="1" min="9" max="9" width="48.0"/>
    <col customWidth="1" min="10" max="10" width="7.0"/>
    <col customWidth="1" min="11" max="11" width="10.0"/>
    <col customWidth="1" min="12" max="12" width="36.0"/>
    <col customWidth="1" min="13" max="13" width="40.0"/>
    <col customWidth="1" min="14" max="14" width="9.0"/>
    <col customWidth="1" min="15" max="17" width="11.0"/>
    <col customWidth="1" min="18" max="18" width="24.0"/>
    <col customWidth="1" min="19" max="20" width="40.0"/>
    <col customWidth="1" min="21" max="21" width="12.0"/>
    <col customWidth="1" min="22" max="22" width="10.0"/>
    <col customWidth="1" min="23" max="23" width="30.0"/>
    <col customWidth="1" min="24" max="24" width="32.0"/>
    <col customWidth="1" min="25" max="25" width="12.0"/>
    <col customWidth="1" min="26" max="26" width="13.0"/>
  </cols>
  <sheetData>
    <row r="1" ht="21.75" customHeight="1">
      <c r="A1" s="1" t="s">
        <v>434</v>
      </c>
    </row>
    <row r="2">
      <c r="A2" s="2" t="s">
        <v>437</v>
      </c>
    </row>
    <row r="4" ht="43.5" customHeight="1">
      <c r="A4" s="4" t="s">
        <v>439</v>
      </c>
      <c r="B4" s="4" t="s">
        <v>433</v>
      </c>
      <c r="C4" s="4" t="s">
        <v>441</v>
      </c>
      <c r="D4" s="4" t="s">
        <v>442</v>
      </c>
      <c r="E4" s="4" t="s">
        <v>163</v>
      </c>
      <c r="F4" s="4" t="s">
        <v>443</v>
      </c>
      <c r="G4" s="4" t="s">
        <v>444</v>
      </c>
      <c r="H4" s="4" t="s">
        <v>445</v>
      </c>
      <c r="I4" s="4" t="s">
        <v>447</v>
      </c>
      <c r="J4" s="4" t="s">
        <v>449</v>
      </c>
      <c r="K4" s="4" t="s">
        <v>451</v>
      </c>
      <c r="L4" s="4" t="s">
        <v>452</v>
      </c>
      <c r="M4" s="4" t="s">
        <v>454</v>
      </c>
      <c r="N4" s="4" t="s">
        <v>455</v>
      </c>
      <c r="O4" s="4" t="s">
        <v>456</v>
      </c>
      <c r="P4" s="4" t="s">
        <v>457</v>
      </c>
      <c r="Q4" s="4" t="s">
        <v>458</v>
      </c>
      <c r="R4" s="4" t="s">
        <v>459</v>
      </c>
      <c r="S4" s="4" t="s">
        <v>460</v>
      </c>
      <c r="T4" s="4" t="s">
        <v>462</v>
      </c>
      <c r="U4" s="4" t="s">
        <v>464</v>
      </c>
      <c r="V4" s="4" t="s">
        <v>466</v>
      </c>
      <c r="W4" s="4" t="s">
        <v>468</v>
      </c>
      <c r="X4" s="4" t="s">
        <v>469</v>
      </c>
      <c r="Y4" s="4" t="s">
        <v>470</v>
      </c>
      <c r="Z4" s="4" t="s">
        <v>471</v>
      </c>
    </row>
    <row r="5" ht="129.0" customHeight="1">
      <c r="A5" s="8" t="s">
        <v>475</v>
      </c>
      <c r="B5" s="3" t="s">
        <v>25</v>
      </c>
      <c r="C5" s="8" t="s">
        <v>478</v>
      </c>
      <c r="D5" s="8" t="s">
        <v>479</v>
      </c>
      <c r="E5" s="25" t="s">
        <v>211</v>
      </c>
      <c r="F5" s="3" t="s">
        <v>484</v>
      </c>
      <c r="G5" s="6">
        <f t="shared" ref="G5:G13" si="1">LEN(F5)</f>
        <v>55</v>
      </c>
      <c r="H5" s="6" t="str">
        <f t="shared" ref="H5:H13" si="2">IF(G5=0,"MISSING",IF(G5&gt;60,"TOO LONG",IF(G5&lt;30,"TOO SHORT","OK")))</f>
        <v>OK</v>
      </c>
      <c r="I5" s="8" t="s">
        <v>502</v>
      </c>
      <c r="J5" s="6">
        <f t="shared" ref="J5:J13" si="3">LEN(I5)</f>
        <v>149</v>
      </c>
      <c r="K5" s="6" t="str">
        <f t="shared" ref="K5:K13" si="4">IF(J5=0,"MISSING",IF(J5&gt;160,"TOO LONG",IF(J5&lt;120,"SHORT","OK")))</f>
        <v>OK</v>
      </c>
      <c r="L5" s="8" t="s">
        <v>512</v>
      </c>
      <c r="M5" s="8" t="s">
        <v>513</v>
      </c>
      <c r="N5" s="43">
        <v>1400.0</v>
      </c>
      <c r="O5" s="44">
        <f>SUMIFS('8. City Content (Paste)'!$H$5:$H$400,'8. City Content (Paste)'!$A$5:$A$400,$A5)+SUMIFS('8b. Page Tables (Paste)'!$H$5:$H$300,'8b. Page Tables (Paste)'!$A$5:$A$300,$A5)+SUMIFS('9. FAQs (Paste)'!$F$5:$F$200,'9. FAQs (Paste)'!$A$5:$A$200,$A5)</f>
        <v>1703</v>
      </c>
      <c r="P5" s="6" t="str">
        <f t="shared" ref="P5:P13" si="5">IF(O5&gt;=N5,"OK","BELOW FLOOR")</f>
        <v>OK</v>
      </c>
      <c r="Q5" s="40">
        <f>COUNTIFS('8. City Content (Paste)'!$A$5:$A$400,$A5,'8. City Content (Paste)'!$I$5:$I$400,"&lt;&gt;Ready")+COUNTIFS('8b. Page Tables (Paste)'!$A$5:$A$300,$A5,'8b. Page Tables (Paste)'!$I$5:$I$300,"&lt;&gt;Ready")+COUNTIFS('9. FAQs (Paste)'!$A$5:$A$200,$A5,'9. FAQs (Paste)'!$G$5:$G$200,"&lt;&gt;Ready")</f>
        <v>18</v>
      </c>
      <c r="R5" s="8" t="s">
        <v>539</v>
      </c>
      <c r="S5" s="8" t="s">
        <v>541</v>
      </c>
      <c r="T5" s="8" t="s">
        <v>542</v>
      </c>
      <c r="U5" s="8" t="s">
        <v>543</v>
      </c>
      <c r="V5" s="8" t="s">
        <v>545</v>
      </c>
      <c r="W5" s="8" t="s">
        <v>546</v>
      </c>
      <c r="X5" s="8" t="s">
        <v>547</v>
      </c>
      <c r="Y5" s="8" t="s">
        <v>548</v>
      </c>
      <c r="Z5" s="24" t="str">
        <f t="shared" ref="Z5:Z13" si="6">IF(AND(H5="OK",K5="OK",P5="OK",Q5=0),"READY","NOT READY")</f>
        <v>NOT READY</v>
      </c>
    </row>
    <row r="6" ht="103.5" customHeight="1">
      <c r="A6" s="8" t="s">
        <v>587</v>
      </c>
      <c r="B6" s="3" t="s">
        <v>61</v>
      </c>
      <c r="C6" s="8" t="s">
        <v>590</v>
      </c>
      <c r="D6" s="8" t="s">
        <v>479</v>
      </c>
      <c r="E6" s="25" t="s">
        <v>211</v>
      </c>
      <c r="F6" s="3" t="s">
        <v>594</v>
      </c>
      <c r="G6" s="6">
        <f t="shared" si="1"/>
        <v>52</v>
      </c>
      <c r="H6" s="6" t="str">
        <f t="shared" si="2"/>
        <v>OK</v>
      </c>
      <c r="I6" s="8" t="s">
        <v>601</v>
      </c>
      <c r="J6" s="6">
        <f t="shared" si="3"/>
        <v>149</v>
      </c>
      <c r="K6" s="6" t="str">
        <f t="shared" si="4"/>
        <v>OK</v>
      </c>
      <c r="L6" s="8" t="s">
        <v>605</v>
      </c>
      <c r="M6" s="8" t="s">
        <v>607</v>
      </c>
      <c r="N6" s="43">
        <v>1100.0</v>
      </c>
      <c r="O6" s="44">
        <f>SUMIFS('8. City Content (Paste)'!$H$5:$H$400,'8. City Content (Paste)'!$A$5:$A$400,$A6)+SUMIFS('8b. Page Tables (Paste)'!$H$5:$H$300,'8b. Page Tables (Paste)'!$A$5:$A$300,$A6)+SUMIFS('9. FAQs (Paste)'!$F$5:$F$200,'9. FAQs (Paste)'!$A$5:$A$200,$A6)</f>
        <v>1280</v>
      </c>
      <c r="P6" s="6" t="str">
        <f t="shared" si="5"/>
        <v>OK</v>
      </c>
      <c r="Q6" s="40">
        <f>COUNTIFS('8. City Content (Paste)'!$A$5:$A$400,$A6,'8. City Content (Paste)'!$I$5:$I$400,"&lt;&gt;Ready")+COUNTIFS('8b. Page Tables (Paste)'!$A$5:$A$300,$A6,'8b. Page Tables (Paste)'!$I$5:$I$300,"&lt;&gt;Ready")+COUNTIFS('9. FAQs (Paste)'!$A$5:$A$200,$A6,'9. FAQs (Paste)'!$G$5:$G$200,"&lt;&gt;Ready")</f>
        <v>17</v>
      </c>
      <c r="R6" s="8" t="s">
        <v>539</v>
      </c>
      <c r="S6" s="8" t="s">
        <v>672</v>
      </c>
      <c r="T6" s="8" t="s">
        <v>673</v>
      </c>
      <c r="U6" s="8" t="s">
        <v>675</v>
      </c>
      <c r="V6" s="8" t="s">
        <v>678</v>
      </c>
      <c r="W6" s="8" t="s">
        <v>546</v>
      </c>
      <c r="X6" s="8" t="s">
        <v>680</v>
      </c>
      <c r="Y6" s="8" t="s">
        <v>548</v>
      </c>
      <c r="Z6" s="24" t="str">
        <f t="shared" si="6"/>
        <v>NOT READY</v>
      </c>
    </row>
    <row r="7" ht="78.0" customHeight="1">
      <c r="A7" s="8" t="s">
        <v>687</v>
      </c>
      <c r="B7" s="3" t="s">
        <v>92</v>
      </c>
      <c r="C7" s="8" t="s">
        <v>690</v>
      </c>
      <c r="D7" s="8" t="s">
        <v>479</v>
      </c>
      <c r="E7" s="26" t="s">
        <v>230</v>
      </c>
      <c r="F7" s="3" t="s">
        <v>696</v>
      </c>
      <c r="G7" s="6">
        <f t="shared" si="1"/>
        <v>48</v>
      </c>
      <c r="H7" s="6" t="str">
        <f t="shared" si="2"/>
        <v>OK</v>
      </c>
      <c r="I7" s="8" t="s">
        <v>699</v>
      </c>
      <c r="J7" s="6">
        <f t="shared" si="3"/>
        <v>146</v>
      </c>
      <c r="K7" s="6" t="str">
        <f t="shared" si="4"/>
        <v>OK</v>
      </c>
      <c r="L7" s="8" t="s">
        <v>705</v>
      </c>
      <c r="M7" s="8" t="s">
        <v>706</v>
      </c>
      <c r="N7" s="43">
        <v>1050.0</v>
      </c>
      <c r="O7" s="44">
        <f>SUMIFS('8. City Content (Paste)'!$H$5:$H$400,'8. City Content (Paste)'!$A$5:$A$400,$A7)+SUMIFS('8b. Page Tables (Paste)'!$H$5:$H$300,'8b. Page Tables (Paste)'!$A$5:$A$300,$A7)+SUMIFS('9. FAQs (Paste)'!$F$5:$F$200,'9. FAQs (Paste)'!$A$5:$A$200,$A7)</f>
        <v>1217</v>
      </c>
      <c r="P7" s="6" t="str">
        <f t="shared" si="5"/>
        <v>OK</v>
      </c>
      <c r="Q7" s="40">
        <f>COUNTIFS('8. City Content (Paste)'!$A$5:$A$400,$A7,'8. City Content (Paste)'!$I$5:$I$400,"&lt;&gt;Ready")+COUNTIFS('8b. Page Tables (Paste)'!$A$5:$A$300,$A7,'8b. Page Tables (Paste)'!$I$5:$I$300,"&lt;&gt;Ready")+COUNTIFS('9. FAQs (Paste)'!$A$5:$A$200,$A7,'9. FAQs (Paste)'!$G$5:$G$200,"&lt;&gt;Ready")</f>
        <v>17</v>
      </c>
      <c r="R7" s="8" t="s">
        <v>539</v>
      </c>
      <c r="S7" s="8" t="s">
        <v>727</v>
      </c>
      <c r="T7" s="8" t="s">
        <v>728</v>
      </c>
      <c r="U7" s="8" t="s">
        <v>729</v>
      </c>
      <c r="V7" s="8" t="s">
        <v>730</v>
      </c>
      <c r="W7" s="8" t="s">
        <v>546</v>
      </c>
      <c r="X7" s="8" t="s">
        <v>731</v>
      </c>
      <c r="Y7" s="8" t="s">
        <v>548</v>
      </c>
      <c r="Z7" s="24" t="str">
        <f t="shared" si="6"/>
        <v>NOT READY</v>
      </c>
    </row>
    <row r="8" ht="129.0" customHeight="1">
      <c r="A8" s="8" t="s">
        <v>734</v>
      </c>
      <c r="B8" s="3" t="s">
        <v>126</v>
      </c>
      <c r="C8" s="8" t="s">
        <v>736</v>
      </c>
      <c r="D8" s="8" t="s">
        <v>479</v>
      </c>
      <c r="E8" s="25" t="s">
        <v>211</v>
      </c>
      <c r="F8" s="3" t="s">
        <v>737</v>
      </c>
      <c r="G8" s="6">
        <f t="shared" si="1"/>
        <v>49</v>
      </c>
      <c r="H8" s="6" t="str">
        <f t="shared" si="2"/>
        <v>OK</v>
      </c>
      <c r="I8" s="8" t="s">
        <v>739</v>
      </c>
      <c r="J8" s="6">
        <f t="shared" si="3"/>
        <v>144</v>
      </c>
      <c r="K8" s="6" t="str">
        <f t="shared" si="4"/>
        <v>OK</v>
      </c>
      <c r="L8" s="8" t="s">
        <v>743</v>
      </c>
      <c r="M8" s="8" t="s">
        <v>744</v>
      </c>
      <c r="N8" s="43">
        <v>1050.0</v>
      </c>
      <c r="O8" s="44">
        <f>SUMIFS('8. City Content (Paste)'!$H$5:$H$400,'8. City Content (Paste)'!$A$5:$A$400,$A8)+SUMIFS('8b. Page Tables (Paste)'!$H$5:$H$300,'8b. Page Tables (Paste)'!$A$5:$A$300,$A8)+SUMIFS('9. FAQs (Paste)'!$F$5:$F$200,'9. FAQs (Paste)'!$A$5:$A$200,$A8)</f>
        <v>1230</v>
      </c>
      <c r="P8" s="6" t="str">
        <f t="shared" si="5"/>
        <v>OK</v>
      </c>
      <c r="Q8" s="40">
        <f>COUNTIFS('8. City Content (Paste)'!$A$5:$A$400,$A8,'8. City Content (Paste)'!$I$5:$I$400,"&lt;&gt;Ready")+COUNTIFS('8b. Page Tables (Paste)'!$A$5:$A$300,$A8,'8b. Page Tables (Paste)'!$I$5:$I$300,"&lt;&gt;Ready")+COUNTIFS('9. FAQs (Paste)'!$A$5:$A$200,$A8,'9. FAQs (Paste)'!$G$5:$G$200,"&lt;&gt;Ready")</f>
        <v>17</v>
      </c>
      <c r="R8" s="8" t="s">
        <v>539</v>
      </c>
      <c r="S8" s="8" t="s">
        <v>768</v>
      </c>
      <c r="T8" s="8" t="s">
        <v>770</v>
      </c>
      <c r="U8" s="8" t="s">
        <v>771</v>
      </c>
      <c r="V8" s="8" t="s">
        <v>773</v>
      </c>
      <c r="W8" s="8" t="s">
        <v>546</v>
      </c>
      <c r="X8" s="8" t="s">
        <v>774</v>
      </c>
      <c r="Y8" s="8" t="s">
        <v>548</v>
      </c>
      <c r="Z8" s="24" t="str">
        <f t="shared" si="6"/>
        <v>NOT READY</v>
      </c>
    </row>
    <row r="9" ht="90.75" customHeight="1">
      <c r="A9" s="8" t="s">
        <v>776</v>
      </c>
      <c r="B9" s="3" t="s">
        <v>151</v>
      </c>
      <c r="C9" s="8" t="s">
        <v>777</v>
      </c>
      <c r="D9" s="8" t="s">
        <v>479</v>
      </c>
      <c r="E9" s="26" t="s">
        <v>230</v>
      </c>
      <c r="F9" s="3" t="s">
        <v>778</v>
      </c>
      <c r="G9" s="6">
        <f t="shared" si="1"/>
        <v>49</v>
      </c>
      <c r="H9" s="6" t="str">
        <f t="shared" si="2"/>
        <v>OK</v>
      </c>
      <c r="I9" s="8" t="s">
        <v>779</v>
      </c>
      <c r="J9" s="6">
        <f t="shared" si="3"/>
        <v>146</v>
      </c>
      <c r="K9" s="6" t="str">
        <f t="shared" si="4"/>
        <v>OK</v>
      </c>
      <c r="L9" s="8" t="s">
        <v>782</v>
      </c>
      <c r="M9" s="8" t="s">
        <v>783</v>
      </c>
      <c r="N9" s="43">
        <v>1000.0</v>
      </c>
      <c r="O9" s="44">
        <f>SUMIFS('8. City Content (Paste)'!$H$5:$H$400,'8. City Content (Paste)'!$A$5:$A$400,$A9)+SUMIFS('8b. Page Tables (Paste)'!$H$5:$H$300,'8b. Page Tables (Paste)'!$A$5:$A$300,$A9)+SUMIFS('9. FAQs (Paste)'!$F$5:$F$200,'9. FAQs (Paste)'!$A$5:$A$200,$A9)</f>
        <v>1196</v>
      </c>
      <c r="P9" s="6" t="str">
        <f t="shared" si="5"/>
        <v>OK</v>
      </c>
      <c r="Q9" s="40">
        <f>COUNTIFS('8. City Content (Paste)'!$A$5:$A$400,$A9,'8. City Content (Paste)'!$I$5:$I$400,"&lt;&gt;Ready")+COUNTIFS('8b. Page Tables (Paste)'!$A$5:$A$300,$A9,'8b. Page Tables (Paste)'!$I$5:$I$300,"&lt;&gt;Ready")+COUNTIFS('9. FAQs (Paste)'!$A$5:$A$200,$A9,'9. FAQs (Paste)'!$G$5:$G$200,"&lt;&gt;Ready")</f>
        <v>17</v>
      </c>
      <c r="R9" s="8" t="s">
        <v>539</v>
      </c>
      <c r="S9" s="8" t="s">
        <v>794</v>
      </c>
      <c r="T9" s="8" t="s">
        <v>728</v>
      </c>
      <c r="U9" s="8" t="s">
        <v>795</v>
      </c>
      <c r="V9" s="8" t="s">
        <v>797</v>
      </c>
      <c r="W9" s="8" t="s">
        <v>546</v>
      </c>
      <c r="X9" s="8" t="s">
        <v>798</v>
      </c>
      <c r="Y9" s="8" t="s">
        <v>548</v>
      </c>
      <c r="Z9" s="24" t="str">
        <f t="shared" si="6"/>
        <v>NOT READY</v>
      </c>
    </row>
    <row r="10" ht="66.0" customHeight="1">
      <c r="A10" s="8" t="s">
        <v>802</v>
      </c>
      <c r="B10" s="3" t="s">
        <v>715</v>
      </c>
      <c r="C10" s="8" t="s">
        <v>803</v>
      </c>
      <c r="D10" s="8" t="s">
        <v>804</v>
      </c>
      <c r="E10" s="29" t="s">
        <v>250</v>
      </c>
      <c r="F10" s="3" t="s">
        <v>808</v>
      </c>
      <c r="G10" s="6">
        <f t="shared" si="1"/>
        <v>55</v>
      </c>
      <c r="H10" s="6" t="str">
        <f t="shared" si="2"/>
        <v>OK</v>
      </c>
      <c r="I10" s="8" t="s">
        <v>810</v>
      </c>
      <c r="J10" s="6">
        <f t="shared" si="3"/>
        <v>150</v>
      </c>
      <c r="K10" s="6" t="str">
        <f t="shared" si="4"/>
        <v>OK</v>
      </c>
      <c r="L10" s="8" t="s">
        <v>811</v>
      </c>
      <c r="M10" s="8" t="s">
        <v>812</v>
      </c>
      <c r="N10" s="43">
        <v>900.0</v>
      </c>
      <c r="O10" s="44">
        <f>SUMIFS('8. City Content (Paste)'!$H$5:$H$400,'8. City Content (Paste)'!$A$5:$A$400,$A10)+SUMIFS('8b. Page Tables (Paste)'!$H$5:$H$300,'8b. Page Tables (Paste)'!$A$5:$A$300,$A10)+SUMIFS('9. FAQs (Paste)'!$F$5:$F$200,'9. FAQs (Paste)'!$A$5:$A$200,$A10)</f>
        <v>1053</v>
      </c>
      <c r="P10" s="6" t="str">
        <f t="shared" si="5"/>
        <v>OK</v>
      </c>
      <c r="Q10" s="40">
        <f>COUNTIFS('8. City Content (Paste)'!$A$5:$A$400,$A10,'8. City Content (Paste)'!$I$5:$I$400,"&lt;&gt;Ready")+COUNTIFS('8b. Page Tables (Paste)'!$A$5:$A$300,$A10,'8b. Page Tables (Paste)'!$I$5:$I$300,"&lt;&gt;Ready")+COUNTIFS('9. FAQs (Paste)'!$A$5:$A$200,$A10,'9. FAQs (Paste)'!$G$5:$G$200,"&lt;&gt;Ready")</f>
        <v>18</v>
      </c>
      <c r="R10" s="8" t="s">
        <v>539</v>
      </c>
      <c r="S10" s="8" t="s">
        <v>817</v>
      </c>
      <c r="T10" s="8" t="s">
        <v>818</v>
      </c>
      <c r="U10" s="8" t="s">
        <v>819</v>
      </c>
      <c r="V10" s="8" t="s">
        <v>820</v>
      </c>
      <c r="W10" s="8" t="s">
        <v>546</v>
      </c>
      <c r="X10" s="8" t="s">
        <v>821</v>
      </c>
      <c r="Y10" s="8" t="s">
        <v>548</v>
      </c>
      <c r="Z10" s="24" t="str">
        <f t="shared" si="6"/>
        <v>NOT READY</v>
      </c>
    </row>
    <row r="11" ht="78.0" customHeight="1">
      <c r="A11" s="8" t="s">
        <v>822</v>
      </c>
      <c r="B11" s="3" t="s">
        <v>754</v>
      </c>
      <c r="C11" s="8" t="s">
        <v>823</v>
      </c>
      <c r="D11" s="8" t="s">
        <v>824</v>
      </c>
      <c r="E11" s="25" t="s">
        <v>211</v>
      </c>
      <c r="F11" s="3" t="s">
        <v>825</v>
      </c>
      <c r="G11" s="6">
        <f t="shared" si="1"/>
        <v>56</v>
      </c>
      <c r="H11" s="6" t="str">
        <f t="shared" si="2"/>
        <v>OK</v>
      </c>
      <c r="I11" s="8" t="s">
        <v>826</v>
      </c>
      <c r="J11" s="6">
        <f t="shared" si="3"/>
        <v>149</v>
      </c>
      <c r="K11" s="6" t="str">
        <f t="shared" si="4"/>
        <v>OK</v>
      </c>
      <c r="L11" s="8" t="s">
        <v>827</v>
      </c>
      <c r="M11" s="8" t="s">
        <v>828</v>
      </c>
      <c r="N11" s="43">
        <v>550.0</v>
      </c>
      <c r="O11" s="44">
        <f>SUMIFS('8. City Content (Paste)'!$H$5:$H$400,'8. City Content (Paste)'!$A$5:$A$400,$A11)+SUMIFS('8b. Page Tables (Paste)'!$H$5:$H$300,'8b. Page Tables (Paste)'!$A$5:$A$300,$A11)+SUMIFS('9. FAQs (Paste)'!$F$5:$F$200,'9. FAQs (Paste)'!$A$5:$A$200,$A11)</f>
        <v>881</v>
      </c>
      <c r="P11" s="6" t="str">
        <f t="shared" si="5"/>
        <v>OK</v>
      </c>
      <c r="Q11" s="40">
        <f>COUNTIFS('8. City Content (Paste)'!$A$5:$A$400,$A11,'8. City Content (Paste)'!$I$5:$I$400,"&lt;&gt;Ready")+COUNTIFS('8b. Page Tables (Paste)'!$A$5:$A$300,$A11,'8b. Page Tables (Paste)'!$I$5:$I$300,"&lt;&gt;Ready")+COUNTIFS('9. FAQs (Paste)'!$A$5:$A$200,$A11,'9. FAQs (Paste)'!$G$5:$G$200,"&lt;&gt;Ready")</f>
        <v>7</v>
      </c>
      <c r="R11" s="8" t="s">
        <v>839</v>
      </c>
      <c r="S11" s="8" t="s">
        <v>840</v>
      </c>
      <c r="T11" s="8" t="s">
        <v>841</v>
      </c>
      <c r="U11" s="8" t="s">
        <v>842</v>
      </c>
      <c r="V11" s="8" t="s">
        <v>545</v>
      </c>
      <c r="W11" s="8" t="s">
        <v>843</v>
      </c>
      <c r="X11" s="8" t="s">
        <v>844</v>
      </c>
      <c r="Y11" s="8" t="s">
        <v>548</v>
      </c>
      <c r="Z11" s="24" t="str">
        <f t="shared" si="6"/>
        <v>NOT READY</v>
      </c>
    </row>
    <row r="12" ht="40.5" customHeight="1">
      <c r="A12" s="8" t="s">
        <v>845</v>
      </c>
      <c r="B12" s="3" t="s">
        <v>761</v>
      </c>
      <c r="C12" s="8" t="s">
        <v>846</v>
      </c>
      <c r="D12" s="8" t="s">
        <v>847</v>
      </c>
      <c r="E12" s="29" t="s">
        <v>250</v>
      </c>
      <c r="F12" s="3" t="s">
        <v>848</v>
      </c>
      <c r="G12" s="6">
        <f t="shared" si="1"/>
        <v>57</v>
      </c>
      <c r="H12" s="6" t="str">
        <f t="shared" si="2"/>
        <v>OK</v>
      </c>
      <c r="I12" s="8" t="s">
        <v>849</v>
      </c>
      <c r="J12" s="6">
        <f t="shared" si="3"/>
        <v>148</v>
      </c>
      <c r="K12" s="6" t="str">
        <f t="shared" si="4"/>
        <v>OK</v>
      </c>
      <c r="L12" s="8" t="s">
        <v>851</v>
      </c>
      <c r="M12" s="8" t="s">
        <v>852</v>
      </c>
      <c r="N12" s="43">
        <v>450.0</v>
      </c>
      <c r="O12" s="44">
        <f>SUMIFS('8. City Content (Paste)'!$H$5:$H$400,'8. City Content (Paste)'!$A$5:$A$400,$A12)+SUMIFS('8b. Page Tables (Paste)'!$H$5:$H$300,'8b. Page Tables (Paste)'!$A$5:$A$300,$A12)+SUMIFS('9. FAQs (Paste)'!$F$5:$F$200,'9. FAQs (Paste)'!$A$5:$A$200,$A12)</f>
        <v>771</v>
      </c>
      <c r="P12" s="6" t="str">
        <f t="shared" si="5"/>
        <v>OK</v>
      </c>
      <c r="Q12" s="40">
        <f>COUNTIFS('8. City Content (Paste)'!$A$5:$A$400,$A12,'8. City Content (Paste)'!$I$5:$I$400,"&lt;&gt;Ready")+COUNTIFS('8b. Page Tables (Paste)'!$A$5:$A$300,$A12,'8b. Page Tables (Paste)'!$I$5:$I$300,"&lt;&gt;Ready")+COUNTIFS('9. FAQs (Paste)'!$A$5:$A$200,$A12,'9. FAQs (Paste)'!$G$5:$G$200,"&lt;&gt;Ready")</f>
        <v>6</v>
      </c>
      <c r="R12" s="8" t="s">
        <v>839</v>
      </c>
      <c r="S12" s="8" t="s">
        <v>858</v>
      </c>
      <c r="T12" s="8" t="s">
        <v>859</v>
      </c>
      <c r="U12" s="8" t="s">
        <v>860</v>
      </c>
      <c r="V12" s="8" t="s">
        <v>820</v>
      </c>
      <c r="W12" s="8" t="s">
        <v>843</v>
      </c>
      <c r="X12" s="8" t="s">
        <v>861</v>
      </c>
      <c r="Y12" s="8" t="s">
        <v>548</v>
      </c>
      <c r="Z12" s="24" t="str">
        <f t="shared" si="6"/>
        <v>NOT READY</v>
      </c>
    </row>
    <row r="13" ht="53.25" customHeight="1">
      <c r="A13" s="8" t="s">
        <v>862</v>
      </c>
      <c r="B13" s="3" t="s">
        <v>863</v>
      </c>
      <c r="C13" s="8" t="s">
        <v>864</v>
      </c>
      <c r="D13" s="8" t="s">
        <v>865</v>
      </c>
      <c r="E13" s="25" t="s">
        <v>211</v>
      </c>
      <c r="F13" s="3" t="s">
        <v>866</v>
      </c>
      <c r="G13" s="6">
        <f t="shared" si="1"/>
        <v>57</v>
      </c>
      <c r="H13" s="6" t="str">
        <f t="shared" si="2"/>
        <v>OK</v>
      </c>
      <c r="I13" s="8" t="s">
        <v>868</v>
      </c>
      <c r="J13" s="6">
        <f t="shared" si="3"/>
        <v>145</v>
      </c>
      <c r="K13" s="6" t="str">
        <f t="shared" si="4"/>
        <v>OK</v>
      </c>
      <c r="L13" s="8" t="s">
        <v>871</v>
      </c>
      <c r="M13" s="8" t="s">
        <v>872</v>
      </c>
      <c r="N13" s="43">
        <v>50.0</v>
      </c>
      <c r="O13" s="44">
        <f>SUMIFS('8. City Content (Paste)'!$H$5:$H$400,'8. City Content (Paste)'!$A$5:$A$400,$A13)+SUMIFS('8b. Page Tables (Paste)'!$H$5:$H$300,'8b. Page Tables (Paste)'!$A$5:$A$300,$A13)+SUMIFS('9. FAQs (Paste)'!$F$5:$F$200,'9. FAQs (Paste)'!$A$5:$A$200,$A13)</f>
        <v>180</v>
      </c>
      <c r="P13" s="6" t="str">
        <f t="shared" si="5"/>
        <v>OK</v>
      </c>
      <c r="Q13" s="40">
        <f>COUNTIFS('8. City Content (Paste)'!$A$5:$A$400,$A13,'8. City Content (Paste)'!$I$5:$I$400,"&lt;&gt;Ready")+COUNTIFS('8b. Page Tables (Paste)'!$A$5:$A$300,$A13,'8b. Page Tables (Paste)'!$I$5:$I$300,"&lt;&gt;Ready")+COUNTIFS('9. FAQs (Paste)'!$A$5:$A$200,$A13,'9. FAQs (Paste)'!$G$5:$G$200,"&lt;&gt;Ready")</f>
        <v>1</v>
      </c>
      <c r="R13" s="8" t="s">
        <v>839</v>
      </c>
      <c r="S13" s="8" t="s">
        <v>881</v>
      </c>
      <c r="T13" s="8" t="s">
        <v>882</v>
      </c>
      <c r="U13" s="8" t="s">
        <v>178</v>
      </c>
      <c r="V13" s="8" t="s">
        <v>178</v>
      </c>
      <c r="W13" s="8" t="s">
        <v>883</v>
      </c>
      <c r="X13" s="8" t="s">
        <v>884</v>
      </c>
      <c r="Y13" s="8" t="s">
        <v>548</v>
      </c>
      <c r="Z13" s="24" t="str">
        <f t="shared" si="6"/>
        <v>NOT READY</v>
      </c>
    </row>
    <row r="15" ht="18.0" customHeight="1">
      <c r="A15" s="11" t="s">
        <v>887</v>
      </c>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ht="30.0" customHeight="1">
      <c r="A16" s="4" t="s">
        <v>888</v>
      </c>
      <c r="B16" s="4" t="s">
        <v>129</v>
      </c>
      <c r="C16" s="4" t="s">
        <v>889</v>
      </c>
      <c r="D16" s="4" t="s">
        <v>891</v>
      </c>
      <c r="E16" s="4" t="s">
        <v>892</v>
      </c>
      <c r="F16" s="4" t="s">
        <v>893</v>
      </c>
      <c r="G16" s="4" t="s">
        <v>443</v>
      </c>
      <c r="H16" s="4" t="s">
        <v>444</v>
      </c>
      <c r="I16" s="4" t="s">
        <v>447</v>
      </c>
      <c r="J16" s="4" t="s">
        <v>449</v>
      </c>
      <c r="K16" s="4" t="s">
        <v>452</v>
      </c>
      <c r="L16" s="4" t="s">
        <v>895</v>
      </c>
    </row>
    <row r="17" ht="109.5" customHeight="1">
      <c r="A17" s="3" t="s">
        <v>185</v>
      </c>
      <c r="B17" s="8" t="s">
        <v>253</v>
      </c>
      <c r="C17" s="8" t="str">
        <f>IF(LEFT('1. Decision Summary'!$C$5,8)="Option A","No - 301 (Option A)","YES - build")</f>
        <v>No - 301 (Option A)</v>
      </c>
      <c r="D17" s="8" t="s">
        <v>900</v>
      </c>
      <c r="E17" s="8" t="s">
        <v>901</v>
      </c>
      <c r="F17" s="8" t="s">
        <v>902</v>
      </c>
      <c r="G17" s="8" t="s">
        <v>903</v>
      </c>
      <c r="H17" s="6">
        <f t="shared" ref="H17:H20" si="7">LEN(G17)</f>
        <v>52</v>
      </c>
      <c r="I17" s="8" t="s">
        <v>904</v>
      </c>
      <c r="J17" s="6">
        <f t="shared" ref="J17:J20" si="8">LEN(I17)</f>
        <v>146</v>
      </c>
      <c r="K17" s="8" t="s">
        <v>905</v>
      </c>
      <c r="L17" s="39">
        <v>500.0</v>
      </c>
    </row>
    <row r="18" ht="109.5" customHeight="1">
      <c r="A18" s="3" t="s">
        <v>200</v>
      </c>
      <c r="B18" s="8" t="s">
        <v>264</v>
      </c>
      <c r="C18" s="8" t="str">
        <f>IF(LEFT('1. Decision Summary'!$C$5,8)="Option A","No - 301 (Option A)","YES - build")</f>
        <v>No - 301 (Option A)</v>
      </c>
      <c r="D18" s="8" t="s">
        <v>906</v>
      </c>
      <c r="E18" s="8" t="s">
        <v>907</v>
      </c>
      <c r="F18" s="8" t="s">
        <v>909</v>
      </c>
      <c r="G18" s="8" t="s">
        <v>911</v>
      </c>
      <c r="H18" s="6">
        <f t="shared" si="7"/>
        <v>50</v>
      </c>
      <c r="I18" s="8" t="s">
        <v>912</v>
      </c>
      <c r="J18" s="6">
        <f t="shared" si="8"/>
        <v>141</v>
      </c>
      <c r="K18" s="8" t="s">
        <v>913</v>
      </c>
      <c r="L18" s="39">
        <v>500.0</v>
      </c>
    </row>
    <row r="19" ht="109.5" customHeight="1">
      <c r="A19" s="3" t="s">
        <v>219</v>
      </c>
      <c r="B19" s="8" t="s">
        <v>274</v>
      </c>
      <c r="C19" s="8" t="str">
        <f>IF(LEFT('1. Decision Summary'!$C$5,8)="Option A","No - 301 (Option A)","YES - build")</f>
        <v>No - 301 (Option A)</v>
      </c>
      <c r="D19" s="8" t="s">
        <v>918</v>
      </c>
      <c r="E19" s="8" t="s">
        <v>919</v>
      </c>
      <c r="F19" s="8" t="s">
        <v>920</v>
      </c>
      <c r="G19" s="8" t="s">
        <v>921</v>
      </c>
      <c r="H19" s="6">
        <f t="shared" si="7"/>
        <v>48</v>
      </c>
      <c r="I19" s="8" t="s">
        <v>922</v>
      </c>
      <c r="J19" s="6">
        <f t="shared" si="8"/>
        <v>148</v>
      </c>
      <c r="K19" s="8" t="s">
        <v>923</v>
      </c>
      <c r="L19" s="39">
        <v>500.0</v>
      </c>
    </row>
    <row r="20" ht="109.5" customHeight="1">
      <c r="A20" s="3" t="s">
        <v>235</v>
      </c>
      <c r="B20" s="8" t="s">
        <v>299</v>
      </c>
      <c r="C20" s="8" t="str">
        <f>IF(LEFT('1. Decision Summary'!$C$5,8)="Option A","No - 301 (Option A)","YES - build")</f>
        <v>No - 301 (Option A)</v>
      </c>
      <c r="D20" s="8" t="s">
        <v>924</v>
      </c>
      <c r="E20" s="8" t="s">
        <v>925</v>
      </c>
      <c r="F20" s="8" t="s">
        <v>926</v>
      </c>
      <c r="G20" s="8" t="s">
        <v>927</v>
      </c>
      <c r="H20" s="6">
        <f t="shared" si="7"/>
        <v>46</v>
      </c>
      <c r="I20" s="8" t="s">
        <v>928</v>
      </c>
      <c r="J20" s="6">
        <f t="shared" si="8"/>
        <v>149</v>
      </c>
      <c r="K20" s="8" t="s">
        <v>929</v>
      </c>
      <c r="L20" s="39">
        <v>500.0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H5:H13">
    <cfRule type="expression" dxfId="0" priority="1">
      <formula>H5="OK"</formula>
    </cfRule>
  </conditionalFormatting>
  <conditionalFormatting sqref="H5:H13">
    <cfRule type="expression" dxfId="2" priority="2">
      <formula>AND(H5&lt;&gt;"",NOT(H5="OK"))</formula>
    </cfRule>
  </conditionalFormatting>
  <conditionalFormatting sqref="K5:K13">
    <cfRule type="expression" dxfId="0" priority="3">
      <formula>K5="OK"</formula>
    </cfRule>
  </conditionalFormatting>
  <conditionalFormatting sqref="K5:K13">
    <cfRule type="expression" dxfId="2" priority="4">
      <formula>AND(K5&lt;&gt;"",NOT(K5="OK"))</formula>
    </cfRule>
  </conditionalFormatting>
  <conditionalFormatting sqref="P5:P13">
    <cfRule type="expression" dxfId="0" priority="5">
      <formula>P5="OK"</formula>
    </cfRule>
  </conditionalFormatting>
  <conditionalFormatting sqref="P5:P13">
    <cfRule type="expression" dxfId="2" priority="6">
      <formula>AND(P5&lt;&gt;"",NOT(P5="OK"))</formula>
    </cfRule>
  </conditionalFormatting>
  <conditionalFormatting sqref="Z5:Z13">
    <cfRule type="expression" dxfId="0" priority="7">
      <formula>Z5="READY"</formula>
    </cfRule>
  </conditionalFormatting>
  <conditionalFormatting sqref="Z5:Z13">
    <cfRule type="expression" dxfId="2" priority="8">
      <formula>AND(Z5&lt;&gt;"",NOT(Z5="READY"))</formula>
    </cfRule>
  </conditionalFormatting>
  <conditionalFormatting sqref="F5:M13">
    <cfRule type="expression" dxfId="3" priority="9">
      <formula>OR(ISNUMBER(FIND("[CLIENT",F5)),ISNUMBER(FIND("[CONFIRM",F5)),ISNUMBER(FIND("[DEV",F5)))</formula>
    </cfRule>
  </conditionalFormatting>
  <conditionalFormatting sqref="E17:E20">
    <cfRule type="expression" dxfId="3" priority="10">
      <formula>OR(ISNUMBER(FIND("[CLIENT",E17)),ISNUMBER(FIND("[CONFIRM",E17)),ISNUMBER(FIND("[DEV",E17)))</formula>
    </cfRule>
  </conditionalFormatting>
  <printOptions/>
  <pageMargins bottom="1.0" footer="0.0" header="0.0" left="0.75" right="0.75" top="1.0"/>
  <pageSetup fitToHeight="0"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4.0"/>
    <col customWidth="1" min="2" max="2" width="20.0"/>
    <col customWidth="1" min="3" max="3" width="40.0"/>
    <col customWidth="1" min="4" max="4" width="32.0"/>
    <col customWidth="1" min="5" max="5" width="10.0"/>
    <col customWidth="1" min="6" max="6" width="12.0"/>
    <col customWidth="1" min="7" max="7" width="70.0"/>
    <col customWidth="1" min="8" max="8" width="20.0"/>
    <col customWidth="1" min="9" max="26" width="8.71"/>
  </cols>
  <sheetData>
    <row r="1" ht="21.75" customHeight="1">
      <c r="A1" s="1" t="s">
        <v>562</v>
      </c>
    </row>
    <row r="2">
      <c r="A2" s="2" t="s">
        <v>565</v>
      </c>
    </row>
    <row r="4" ht="30.0" customHeight="1">
      <c r="A4" s="4" t="s">
        <v>9</v>
      </c>
      <c r="B4" s="4" t="s">
        <v>568</v>
      </c>
      <c r="C4" s="4" t="s">
        <v>569</v>
      </c>
      <c r="D4" s="4" t="s">
        <v>570</v>
      </c>
      <c r="E4" s="4" t="s">
        <v>571</v>
      </c>
      <c r="F4" s="4" t="s">
        <v>573</v>
      </c>
      <c r="G4" s="4" t="s">
        <v>574</v>
      </c>
      <c r="H4" s="4" t="s">
        <v>575</v>
      </c>
    </row>
    <row r="5" ht="40.5" customHeight="1">
      <c r="A5" s="6">
        <v>1.0</v>
      </c>
      <c r="B5" s="3" t="s">
        <v>469</v>
      </c>
      <c r="C5" s="8" t="s">
        <v>578</v>
      </c>
      <c r="D5" s="8" t="s">
        <v>579</v>
      </c>
      <c r="E5" s="6" t="s">
        <v>580</v>
      </c>
      <c r="F5" s="6" t="s">
        <v>581</v>
      </c>
      <c r="G5" s="8" t="s">
        <v>583</v>
      </c>
      <c r="H5" s="8" t="s">
        <v>178</v>
      </c>
    </row>
    <row r="6" ht="40.5" customHeight="1">
      <c r="A6" s="6">
        <v>2.0</v>
      </c>
      <c r="B6" s="3" t="s">
        <v>584</v>
      </c>
      <c r="C6" s="8" t="s">
        <v>586</v>
      </c>
      <c r="D6" s="8" t="s">
        <v>588</v>
      </c>
      <c r="E6" s="6" t="s">
        <v>589</v>
      </c>
      <c r="F6" s="41" t="s">
        <v>591</v>
      </c>
      <c r="G6" s="8" t="s">
        <v>592</v>
      </c>
      <c r="H6" s="8" t="s">
        <v>595</v>
      </c>
    </row>
    <row r="7" ht="53.25" customHeight="1">
      <c r="A7" s="6">
        <v>3.0</v>
      </c>
      <c r="B7" s="3" t="s">
        <v>312</v>
      </c>
      <c r="C7" s="8" t="s">
        <v>596</v>
      </c>
      <c r="D7" s="8" t="s">
        <v>597</v>
      </c>
      <c r="E7" s="6" t="s">
        <v>598</v>
      </c>
      <c r="F7" s="45" t="s">
        <v>600</v>
      </c>
      <c r="G7" s="8" t="s">
        <v>608</v>
      </c>
      <c r="H7" s="8" t="s">
        <v>609</v>
      </c>
    </row>
    <row r="8" ht="40.5" customHeight="1">
      <c r="A8" s="6">
        <v>4.0</v>
      </c>
      <c r="B8" s="3" t="s">
        <v>611</v>
      </c>
      <c r="C8" s="8" t="s">
        <v>612</v>
      </c>
      <c r="D8" s="8" t="s">
        <v>614</v>
      </c>
      <c r="E8" s="6" t="s">
        <v>615</v>
      </c>
      <c r="F8" s="41" t="s">
        <v>591</v>
      </c>
      <c r="G8" s="8" t="s">
        <v>616</v>
      </c>
      <c r="H8" s="8" t="s">
        <v>618</v>
      </c>
    </row>
    <row r="9" ht="27.75" customHeight="1">
      <c r="A9" s="6">
        <v>5.0</v>
      </c>
      <c r="B9" s="3" t="s">
        <v>619</v>
      </c>
      <c r="C9" s="8" t="s">
        <v>620</v>
      </c>
      <c r="D9" s="8" t="s">
        <v>622</v>
      </c>
      <c r="E9" s="6" t="s">
        <v>623</v>
      </c>
      <c r="F9" s="41" t="s">
        <v>591</v>
      </c>
      <c r="G9" s="8" t="s">
        <v>624</v>
      </c>
      <c r="H9" s="8" t="s">
        <v>626</v>
      </c>
    </row>
    <row r="10" ht="40.5" customHeight="1">
      <c r="A10" s="6">
        <v>6.0</v>
      </c>
      <c r="B10" s="3" t="s">
        <v>627</v>
      </c>
      <c r="C10" s="8" t="s">
        <v>629</v>
      </c>
      <c r="D10" s="8" t="s">
        <v>630</v>
      </c>
      <c r="E10" s="6" t="s">
        <v>631</v>
      </c>
      <c r="F10" s="6" t="s">
        <v>632</v>
      </c>
      <c r="G10" s="8" t="s">
        <v>633</v>
      </c>
      <c r="H10" s="8" t="s">
        <v>634</v>
      </c>
    </row>
    <row r="11" ht="40.5" customHeight="1">
      <c r="A11" s="6">
        <v>7.0</v>
      </c>
      <c r="B11" s="3" t="s">
        <v>636</v>
      </c>
      <c r="C11" s="8" t="s">
        <v>637</v>
      </c>
      <c r="D11" s="8" t="s">
        <v>638</v>
      </c>
      <c r="E11" s="6" t="s">
        <v>639</v>
      </c>
      <c r="F11" s="45" t="s">
        <v>600</v>
      </c>
      <c r="G11" s="8" t="s">
        <v>640</v>
      </c>
      <c r="H11" s="8" t="s">
        <v>609</v>
      </c>
    </row>
    <row r="12" ht="27.75" customHeight="1">
      <c r="A12" s="6">
        <v>8.0</v>
      </c>
      <c r="B12" s="3" t="s">
        <v>642</v>
      </c>
      <c r="C12" s="8" t="s">
        <v>643</v>
      </c>
      <c r="D12" s="8" t="s">
        <v>645</v>
      </c>
      <c r="E12" s="6" t="s">
        <v>646</v>
      </c>
      <c r="F12" s="41" t="s">
        <v>591</v>
      </c>
      <c r="G12" s="8" t="s">
        <v>647</v>
      </c>
      <c r="H12" s="8" t="s">
        <v>649</v>
      </c>
    </row>
    <row r="13" ht="27.75" customHeight="1">
      <c r="A13" s="6">
        <v>9.0</v>
      </c>
      <c r="B13" s="3" t="s">
        <v>650</v>
      </c>
      <c r="C13" s="8" t="s">
        <v>651</v>
      </c>
      <c r="D13" s="8" t="s">
        <v>652</v>
      </c>
      <c r="E13" s="6" t="s">
        <v>653</v>
      </c>
      <c r="F13" s="41" t="s">
        <v>591</v>
      </c>
      <c r="G13" s="8" t="s">
        <v>655</v>
      </c>
      <c r="H13" s="8" t="s">
        <v>656</v>
      </c>
    </row>
    <row r="14" ht="27.75" customHeight="1">
      <c r="A14" s="6">
        <v>10.0</v>
      </c>
      <c r="B14" s="3" t="s">
        <v>657</v>
      </c>
      <c r="C14" s="8" t="s">
        <v>659</v>
      </c>
      <c r="D14" s="8" t="s">
        <v>660</v>
      </c>
      <c r="E14" s="6" t="s">
        <v>661</v>
      </c>
      <c r="F14" s="41" t="s">
        <v>591</v>
      </c>
      <c r="G14" s="8" t="s">
        <v>662</v>
      </c>
      <c r="H14" s="8" t="s">
        <v>663</v>
      </c>
    </row>
    <row r="15" ht="27.75" customHeight="1">
      <c r="A15" s="6">
        <v>11.0</v>
      </c>
      <c r="B15" s="3" t="s">
        <v>665</v>
      </c>
      <c r="C15" s="8" t="s">
        <v>666</v>
      </c>
      <c r="D15" s="8" t="s">
        <v>667</v>
      </c>
      <c r="E15" s="6" t="s">
        <v>668</v>
      </c>
      <c r="F15" s="45" t="s">
        <v>600</v>
      </c>
      <c r="G15" s="8" t="s">
        <v>670</v>
      </c>
      <c r="H15" s="8" t="s">
        <v>671</v>
      </c>
    </row>
    <row r="16" ht="40.5" customHeight="1">
      <c r="A16" s="6">
        <v>12.0</v>
      </c>
      <c r="B16" s="3" t="s">
        <v>344</v>
      </c>
      <c r="C16" s="8" t="s">
        <v>674</v>
      </c>
      <c r="D16" s="8" t="s">
        <v>677</v>
      </c>
      <c r="E16" s="6" t="s">
        <v>679</v>
      </c>
      <c r="F16" s="41" t="s">
        <v>591</v>
      </c>
      <c r="G16" s="8" t="s">
        <v>681</v>
      </c>
      <c r="H16" s="8" t="s">
        <v>682</v>
      </c>
    </row>
    <row r="17" ht="27.75" customHeight="1">
      <c r="A17" s="6">
        <v>13.0</v>
      </c>
      <c r="B17" s="3" t="s">
        <v>684</v>
      </c>
      <c r="C17" s="8" t="s">
        <v>686</v>
      </c>
      <c r="D17" s="8" t="s">
        <v>688</v>
      </c>
      <c r="E17" s="6" t="s">
        <v>689</v>
      </c>
      <c r="F17" s="6" t="s">
        <v>581</v>
      </c>
      <c r="G17" s="8" t="s">
        <v>692</v>
      </c>
      <c r="H17" s="8" t="s">
        <v>693</v>
      </c>
    </row>
    <row r="18" ht="27.75" customHeight="1">
      <c r="A18" s="6">
        <v>14.0</v>
      </c>
      <c r="B18" s="3" t="s">
        <v>694</v>
      </c>
      <c r="C18" s="8" t="s">
        <v>697</v>
      </c>
      <c r="D18" s="8" t="s">
        <v>597</v>
      </c>
      <c r="E18" s="6" t="s">
        <v>598</v>
      </c>
      <c r="F18" s="45" t="s">
        <v>600</v>
      </c>
      <c r="G18" s="8" t="s">
        <v>702</v>
      </c>
      <c r="H18" s="8" t="s">
        <v>704</v>
      </c>
    </row>
    <row r="20" ht="18.0" customHeight="1">
      <c r="A20" s="11" t="s">
        <v>709</v>
      </c>
      <c r="B20" s="12"/>
      <c r="C20" s="12"/>
      <c r="D20" s="12"/>
      <c r="E20" s="12"/>
      <c r="F20" s="12"/>
      <c r="G20" s="12"/>
      <c r="H20" s="12"/>
    </row>
    <row r="21" ht="30.0" customHeight="1">
      <c r="A21" s="6" t="s">
        <v>425</v>
      </c>
      <c r="B21" s="3" t="s">
        <v>712</v>
      </c>
      <c r="C21" s="15" t="s">
        <v>713</v>
      </c>
      <c r="D21" s="7"/>
      <c r="E21" s="7"/>
      <c r="F21" s="7"/>
      <c r="G21" s="7"/>
      <c r="H21" s="9"/>
    </row>
    <row r="22" ht="30.0" customHeight="1">
      <c r="A22" s="6" t="s">
        <v>425</v>
      </c>
      <c r="B22" s="3" t="s">
        <v>717</v>
      </c>
      <c r="C22" s="15" t="s">
        <v>718</v>
      </c>
      <c r="D22" s="7"/>
      <c r="E22" s="7"/>
      <c r="F22" s="7"/>
      <c r="G22" s="7"/>
      <c r="H22" s="9"/>
    </row>
    <row r="23" ht="30.0" customHeight="1">
      <c r="A23" s="6" t="s">
        <v>425</v>
      </c>
      <c r="B23" s="3" t="s">
        <v>720</v>
      </c>
      <c r="C23" s="15" t="s">
        <v>721</v>
      </c>
      <c r="D23" s="7"/>
      <c r="E23" s="7"/>
      <c r="F23" s="7"/>
      <c r="G23" s="7"/>
      <c r="H23" s="9"/>
    </row>
    <row r="24" ht="30.0" customHeight="1">
      <c r="A24" s="6" t="s">
        <v>425</v>
      </c>
      <c r="B24" s="3" t="s">
        <v>724</v>
      </c>
      <c r="C24" s="15" t="s">
        <v>725</v>
      </c>
      <c r="D24" s="7"/>
      <c r="E24" s="7"/>
      <c r="F24" s="7"/>
      <c r="G24" s="7"/>
      <c r="H24" s="9"/>
    </row>
    <row r="25" ht="30.0" customHeight="1">
      <c r="A25" s="6" t="s">
        <v>425</v>
      </c>
      <c r="B25" s="3" t="s">
        <v>732</v>
      </c>
      <c r="C25" s="15" t="s">
        <v>733</v>
      </c>
      <c r="D25" s="7"/>
      <c r="E25" s="7"/>
      <c r="F25" s="7"/>
      <c r="G25" s="7"/>
      <c r="H25" s="9"/>
    </row>
    <row r="26" ht="30.0" customHeight="1">
      <c r="A26" s="6" t="s">
        <v>425</v>
      </c>
      <c r="B26" s="3" t="s">
        <v>738</v>
      </c>
      <c r="C26" s="15" t="s">
        <v>741</v>
      </c>
      <c r="D26" s="7"/>
      <c r="E26" s="7"/>
      <c r="F26" s="7"/>
      <c r="G26" s="7"/>
      <c r="H26" s="9"/>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21:H21"/>
    <mergeCell ref="C22:H22"/>
    <mergeCell ref="C23:H23"/>
    <mergeCell ref="C24:H24"/>
    <mergeCell ref="C25:H25"/>
    <mergeCell ref="C26:H26"/>
  </mergeCells>
  <printOptions/>
  <pageMargins bottom="1.0" footer="0.0" header="0.0" left="0.75" right="0.75" top="1.0"/>
  <pageSetup fitToHeight="0"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cols>
    <col customWidth="1" min="1" max="1" width="12.0"/>
    <col customWidth="1" min="2" max="2" width="22.0"/>
    <col customWidth="1" min="3" max="3" width="6.0"/>
    <col customWidth="1" min="4" max="4" width="18.0"/>
    <col customWidth="1" min="5" max="5" width="20.0"/>
    <col customWidth="1" min="6" max="6" width="36.0"/>
    <col customWidth="1" min="7" max="7" width="90.0"/>
    <col customWidth="1" min="8" max="8" width="7.0"/>
    <col customWidth="1" min="9" max="9" width="13.0"/>
    <col customWidth="1" min="10" max="10" width="11.0"/>
    <col customWidth="1" min="11" max="11" width="40.0"/>
    <col customWidth="1" min="12" max="26" width="8.71"/>
  </cols>
  <sheetData>
    <row r="1" ht="21.75" customHeight="1">
      <c r="A1" s="1" t="s">
        <v>786</v>
      </c>
    </row>
    <row r="2">
      <c r="A2" s="2" t="s">
        <v>789</v>
      </c>
    </row>
    <row r="4" ht="30.0" customHeight="1">
      <c r="A4" s="4" t="s">
        <v>439</v>
      </c>
      <c r="B4" s="4" t="s">
        <v>790</v>
      </c>
      <c r="C4" s="4" t="s">
        <v>791</v>
      </c>
      <c r="D4" s="4" t="s">
        <v>568</v>
      </c>
      <c r="E4" s="4" t="s">
        <v>280</v>
      </c>
      <c r="F4" s="4" t="s">
        <v>792</v>
      </c>
      <c r="G4" s="4" t="s">
        <v>793</v>
      </c>
      <c r="H4" s="4" t="s">
        <v>571</v>
      </c>
      <c r="I4" s="4" t="s">
        <v>796</v>
      </c>
      <c r="J4" s="4" t="s">
        <v>573</v>
      </c>
      <c r="K4" s="4" t="s">
        <v>799</v>
      </c>
    </row>
    <row r="5" ht="40.5" customHeight="1">
      <c r="A5" s="3" t="s">
        <v>801</v>
      </c>
      <c r="B5" s="8" t="s">
        <v>805</v>
      </c>
      <c r="C5" s="8">
        <v>3.0</v>
      </c>
      <c r="D5" s="8" t="s">
        <v>312</v>
      </c>
      <c r="E5" s="8" t="s">
        <v>807</v>
      </c>
      <c r="F5" s="3"/>
      <c r="G5" s="8" t="s">
        <v>809</v>
      </c>
      <c r="H5" s="6">
        <f t="shared" ref="H5:H144" si="1">IF(LEN(TRIM(SUBSTITUTE(F5,CHAR(10)," ")))=0,0,LEN(TRIM(SUBSTITUTE(F5,CHAR(10)," ")))-LEN(SUBSTITUTE(TRIM(SUBSTITUTE(F5,CHAR(10)," "))," ",""))+1)+IF(LEN(TRIM(SUBSTITUTE(G5,CHAR(10)," ")))=0,0,LEN(TRIM(SUBSTITUTE(G5,CHAR(10)," ")))-LEN(SUBSTITUTE(TRIM(SUBSTITUTE(G5,CHAR(10)," "))," ",""))+1)</f>
        <v>46</v>
      </c>
      <c r="I5" s="6" t="str">
        <f t="shared" ref="I5:I144" si="2">IF(ISNUMBER(FIND("[CLIENT",F5&amp;G5)),"CLIENT INPUT",IF(ISNUMBER(FIND("[CONFIRM",F5&amp;G5)),"CONFIRM",IF(ISNUMBER(FIND("[DEV",F5&amp;G5)),"DEV NOTE","Ready")))</f>
        <v>CLIENT INPUT</v>
      </c>
      <c r="J5" s="8" t="s">
        <v>600</v>
      </c>
      <c r="K5" s="8" t="s">
        <v>829</v>
      </c>
    </row>
    <row r="6" ht="78.0" customHeight="1">
      <c r="A6" s="3" t="s">
        <v>801</v>
      </c>
      <c r="B6" s="8" t="s">
        <v>805</v>
      </c>
      <c r="C6" s="8">
        <v>7.0</v>
      </c>
      <c r="D6" s="8" t="s">
        <v>636</v>
      </c>
      <c r="E6" s="8" t="s">
        <v>830</v>
      </c>
      <c r="F6" s="3" t="s">
        <v>831</v>
      </c>
      <c r="G6" s="8" t="s">
        <v>832</v>
      </c>
      <c r="H6" s="6">
        <f t="shared" si="1"/>
        <v>88</v>
      </c>
      <c r="I6" s="6" t="str">
        <f t="shared" si="2"/>
        <v>CLIENT INPUT</v>
      </c>
      <c r="J6" s="8" t="s">
        <v>600</v>
      </c>
      <c r="K6" s="8" t="s">
        <v>829</v>
      </c>
    </row>
    <row r="7" ht="53.25" customHeight="1">
      <c r="A7" s="3" t="s">
        <v>801</v>
      </c>
      <c r="B7" s="8" t="s">
        <v>805</v>
      </c>
      <c r="C7" s="8">
        <v>11.0</v>
      </c>
      <c r="D7" s="8" t="s">
        <v>665</v>
      </c>
      <c r="E7" s="8" t="s">
        <v>833</v>
      </c>
      <c r="F7" s="3" t="s">
        <v>834</v>
      </c>
      <c r="G7" s="8" t="s">
        <v>835</v>
      </c>
      <c r="H7" s="6">
        <f t="shared" si="1"/>
        <v>70</v>
      </c>
      <c r="I7" s="6" t="str">
        <f t="shared" si="2"/>
        <v>Ready</v>
      </c>
      <c r="J7" s="8" t="s">
        <v>600</v>
      </c>
      <c r="K7" s="8" t="s">
        <v>829</v>
      </c>
    </row>
    <row r="8" ht="40.5" customHeight="1">
      <c r="A8" s="3" t="s">
        <v>801</v>
      </c>
      <c r="B8" s="8" t="s">
        <v>805</v>
      </c>
      <c r="C8" s="8">
        <v>14.0</v>
      </c>
      <c r="D8" s="8" t="s">
        <v>836</v>
      </c>
      <c r="E8" s="8" t="s">
        <v>837</v>
      </c>
      <c r="F8" s="3"/>
      <c r="G8" s="8" t="s">
        <v>838</v>
      </c>
      <c r="H8" s="6">
        <f t="shared" si="1"/>
        <v>39</v>
      </c>
      <c r="I8" s="6" t="str">
        <f t="shared" si="2"/>
        <v>CLIENT INPUT</v>
      </c>
      <c r="J8" s="8" t="s">
        <v>600</v>
      </c>
      <c r="K8" s="8" t="s">
        <v>829</v>
      </c>
    </row>
    <row r="9" ht="15.0" customHeight="1">
      <c r="A9" s="8" t="s">
        <v>475</v>
      </c>
      <c r="B9" s="8" t="s">
        <v>42</v>
      </c>
      <c r="C9" s="6">
        <v>1.0</v>
      </c>
      <c r="D9" s="3" t="s">
        <v>469</v>
      </c>
      <c r="E9" s="8" t="s">
        <v>469</v>
      </c>
      <c r="F9" s="3"/>
      <c r="G9" s="8" t="s">
        <v>547</v>
      </c>
      <c r="H9" s="6">
        <f t="shared" si="1"/>
        <v>10</v>
      </c>
      <c r="I9" s="6" t="str">
        <f t="shared" si="2"/>
        <v>Ready</v>
      </c>
      <c r="J9" s="6" t="s">
        <v>581</v>
      </c>
      <c r="K9" s="8" t="s">
        <v>850</v>
      </c>
    </row>
    <row r="10" ht="15.0" customHeight="1">
      <c r="A10" s="8" t="s">
        <v>475</v>
      </c>
      <c r="B10" s="8" t="s">
        <v>42</v>
      </c>
      <c r="C10" s="6">
        <v>2.0</v>
      </c>
      <c r="D10" s="3" t="s">
        <v>584</v>
      </c>
      <c r="E10" s="8" t="s">
        <v>452</v>
      </c>
      <c r="F10" s="3"/>
      <c r="G10" s="8" t="s">
        <v>512</v>
      </c>
      <c r="H10" s="6">
        <f t="shared" si="1"/>
        <v>5</v>
      </c>
      <c r="I10" s="6" t="str">
        <f t="shared" si="2"/>
        <v>Ready</v>
      </c>
      <c r="J10" s="6" t="s">
        <v>591</v>
      </c>
      <c r="K10" s="8" t="s">
        <v>853</v>
      </c>
    </row>
    <row r="11" ht="27.75" customHeight="1">
      <c r="A11" s="8" t="s">
        <v>475</v>
      </c>
      <c r="B11" s="8" t="s">
        <v>42</v>
      </c>
      <c r="C11" s="6">
        <v>2.0</v>
      </c>
      <c r="D11" s="3" t="s">
        <v>584</v>
      </c>
      <c r="E11" s="8" t="s">
        <v>854</v>
      </c>
      <c r="F11" s="3"/>
      <c r="G11" s="8" t="s">
        <v>513</v>
      </c>
      <c r="H11" s="6">
        <f t="shared" si="1"/>
        <v>15</v>
      </c>
      <c r="I11" s="6" t="str">
        <f t="shared" si="2"/>
        <v>Ready</v>
      </c>
      <c r="J11" s="6" t="s">
        <v>591</v>
      </c>
      <c r="K11" s="8"/>
    </row>
    <row r="12" ht="66.0" customHeight="1">
      <c r="A12" s="8" t="s">
        <v>475</v>
      </c>
      <c r="B12" s="8" t="s">
        <v>42</v>
      </c>
      <c r="C12" s="6">
        <v>2.0</v>
      </c>
      <c r="D12" s="3" t="s">
        <v>584</v>
      </c>
      <c r="E12" s="8" t="s">
        <v>855</v>
      </c>
      <c r="F12" s="3"/>
      <c r="G12" s="8" t="s">
        <v>856</v>
      </c>
      <c r="H12" s="6">
        <f t="shared" si="1"/>
        <v>76</v>
      </c>
      <c r="I12" s="6" t="str">
        <f t="shared" si="2"/>
        <v>CLIENT INPUT</v>
      </c>
      <c r="J12" s="6" t="s">
        <v>591</v>
      </c>
      <c r="K12" s="8" t="s">
        <v>857</v>
      </c>
    </row>
    <row r="13" ht="40.5" customHeight="1">
      <c r="A13" s="8" t="s">
        <v>475</v>
      </c>
      <c r="B13" s="8" t="s">
        <v>42</v>
      </c>
      <c r="C13" s="6">
        <v>3.0</v>
      </c>
      <c r="D13" s="3" t="s">
        <v>312</v>
      </c>
      <c r="E13" s="8"/>
      <c r="F13" s="46" t="str">
        <f>IF($F$5="","",$F$5)</f>
        <v/>
      </c>
      <c r="G13" s="46" t="str">
        <f>$G$5</f>
        <v>GSTIN 27FFLPP0007K1ZA (verify on the GST portal) · GST-registered since 2020 · Proprietorship led by Vikas Purohit, CEO · Manufacturing unit in Mumbai, Maharashtra [CLIENT: locality] · [CLIENT: real certifications only, e.g. ISO 9001:2015 — delete if none] · Written quotes by email, no calls needed</v>
      </c>
      <c r="H13" s="6">
        <f t="shared" si="1"/>
        <v>46</v>
      </c>
      <c r="I13" s="6" t="str">
        <f t="shared" si="2"/>
        <v>CLIENT INPUT</v>
      </c>
      <c r="J13" s="6" t="s">
        <v>600</v>
      </c>
      <c r="K13" s="8"/>
    </row>
    <row r="14" ht="40.5" customHeight="1">
      <c r="A14" s="8" t="s">
        <v>475</v>
      </c>
      <c r="B14" s="8" t="s">
        <v>42</v>
      </c>
      <c r="C14" s="6">
        <v>4.0</v>
      </c>
      <c r="D14" s="3" t="s">
        <v>611</v>
      </c>
      <c r="E14" s="8" t="s">
        <v>867</v>
      </c>
      <c r="F14" s="3" t="s">
        <v>869</v>
      </c>
      <c r="G14" s="8" t="s">
        <v>870</v>
      </c>
      <c r="H14" s="6">
        <f t="shared" si="1"/>
        <v>56</v>
      </c>
      <c r="I14" s="6" t="str">
        <f t="shared" si="2"/>
        <v>Ready</v>
      </c>
      <c r="J14" s="6" t="s">
        <v>591</v>
      </c>
      <c r="K14" s="8" t="s">
        <v>873</v>
      </c>
    </row>
    <row r="15" ht="179.25" customHeight="1">
      <c r="A15" s="8" t="s">
        <v>475</v>
      </c>
      <c r="B15" s="8" t="s">
        <v>42</v>
      </c>
      <c r="C15" s="6">
        <v>5.0</v>
      </c>
      <c r="D15" s="3" t="s">
        <v>619</v>
      </c>
      <c r="E15" s="8" t="s">
        <v>874</v>
      </c>
      <c r="F15" s="3" t="s">
        <v>875</v>
      </c>
      <c r="G15" s="8" t="s">
        <v>876</v>
      </c>
      <c r="H15" s="6">
        <f t="shared" si="1"/>
        <v>207</v>
      </c>
      <c r="I15" s="6" t="str">
        <f t="shared" si="2"/>
        <v>CLIENT INPUT</v>
      </c>
      <c r="J15" s="6" t="s">
        <v>591</v>
      </c>
      <c r="K15" s="8" t="s">
        <v>877</v>
      </c>
    </row>
    <row r="16" ht="53.25" customHeight="1">
      <c r="A16" s="8" t="s">
        <v>475</v>
      </c>
      <c r="B16" s="8" t="s">
        <v>42</v>
      </c>
      <c r="C16" s="6">
        <v>6.0</v>
      </c>
      <c r="D16" s="3" t="s">
        <v>627</v>
      </c>
      <c r="E16" s="8" t="s">
        <v>867</v>
      </c>
      <c r="F16" s="3" t="s">
        <v>878</v>
      </c>
      <c r="G16" s="8" t="s">
        <v>879</v>
      </c>
      <c r="H16" s="6">
        <f t="shared" si="1"/>
        <v>52</v>
      </c>
      <c r="I16" s="6" t="str">
        <f t="shared" si="2"/>
        <v>CLIENT INPUT</v>
      </c>
      <c r="J16" s="6" t="s">
        <v>632</v>
      </c>
      <c r="K16" s="8" t="s">
        <v>880</v>
      </c>
    </row>
    <row r="17" ht="78.0" customHeight="1">
      <c r="A17" s="8" t="s">
        <v>475</v>
      </c>
      <c r="B17" s="8" t="s">
        <v>42</v>
      </c>
      <c r="C17" s="6">
        <v>7.0</v>
      </c>
      <c r="D17" s="3" t="s">
        <v>636</v>
      </c>
      <c r="E17" s="8"/>
      <c r="F17" s="46" t="str">
        <f>IF($F$6="","",$F$6)</f>
        <v>How every flange is made and checked</v>
      </c>
      <c r="G17" s="46" t="str">
        <f>$G$6</f>
        <v>Every flange starts as a certified billet or bar whose heat number follows it through cutting, forging, heat treatment where the material specification requires it, CNC machining and drilling, and final marking of grade, class, size and heat number. Before dispatch we check dimensions against the governing standard and [CLIENT: list only tests actually done in-house, e.g. PMI, hardness, ultrasonic], and issue material test certificates that tie each flange back to its heat. Buyer-nominated third-party inspection can witness any stage [CONFIRM].</v>
      </c>
      <c r="H17" s="6">
        <f t="shared" si="1"/>
        <v>88</v>
      </c>
      <c r="I17" s="6" t="str">
        <f t="shared" si="2"/>
        <v>CLIENT INPUT</v>
      </c>
      <c r="J17" s="6" t="s">
        <v>600</v>
      </c>
      <c r="K17" s="8"/>
    </row>
    <row r="18" ht="103.5" customHeight="1">
      <c r="A18" s="8" t="s">
        <v>475</v>
      </c>
      <c r="B18" s="8" t="s">
        <v>42</v>
      </c>
      <c r="C18" s="6">
        <v>8.0</v>
      </c>
      <c r="D18" s="3" t="s">
        <v>642</v>
      </c>
      <c r="E18" s="8" t="s">
        <v>874</v>
      </c>
      <c r="F18" s="3" t="s">
        <v>885</v>
      </c>
      <c r="G18" s="8" t="s">
        <v>886</v>
      </c>
      <c r="H18" s="6">
        <f t="shared" si="1"/>
        <v>108</v>
      </c>
      <c r="I18" s="6" t="str">
        <f t="shared" si="2"/>
        <v>CLIENT INPUT</v>
      </c>
      <c r="J18" s="6" t="s">
        <v>591</v>
      </c>
      <c r="K18" s="8"/>
    </row>
    <row r="19" ht="66.0" customHeight="1">
      <c r="A19" s="8" t="s">
        <v>475</v>
      </c>
      <c r="B19" s="8" t="s">
        <v>42</v>
      </c>
      <c r="C19" s="6">
        <v>9.0</v>
      </c>
      <c r="D19" s="3" t="s">
        <v>650</v>
      </c>
      <c r="E19" s="8" t="s">
        <v>874</v>
      </c>
      <c r="F19" s="3" t="s">
        <v>890</v>
      </c>
      <c r="G19" s="8" t="s">
        <v>894</v>
      </c>
      <c r="H19" s="6">
        <f t="shared" si="1"/>
        <v>78</v>
      </c>
      <c r="I19" s="6" t="str">
        <f t="shared" si="2"/>
        <v>CLIENT INPUT</v>
      </c>
      <c r="J19" s="6" t="s">
        <v>591</v>
      </c>
      <c r="K19" s="8" t="s">
        <v>896</v>
      </c>
    </row>
    <row r="20" ht="53.25" customHeight="1">
      <c r="A20" s="8" t="s">
        <v>475</v>
      </c>
      <c r="B20" s="8" t="s">
        <v>42</v>
      </c>
      <c r="C20" s="6">
        <v>10.0</v>
      </c>
      <c r="D20" s="3" t="s">
        <v>657</v>
      </c>
      <c r="E20" s="8" t="s">
        <v>874</v>
      </c>
      <c r="F20" s="3" t="s">
        <v>897</v>
      </c>
      <c r="G20" s="8" t="s">
        <v>898</v>
      </c>
      <c r="H20" s="6">
        <f t="shared" si="1"/>
        <v>58</v>
      </c>
      <c r="I20" s="6" t="str">
        <f t="shared" si="2"/>
        <v>CLIENT INPUT</v>
      </c>
      <c r="J20" s="6" t="s">
        <v>591</v>
      </c>
      <c r="K20" s="8" t="s">
        <v>899</v>
      </c>
    </row>
    <row r="21" ht="53.25" customHeight="1">
      <c r="A21" s="8" t="s">
        <v>475</v>
      </c>
      <c r="B21" s="8" t="s">
        <v>42</v>
      </c>
      <c r="C21" s="6">
        <v>11.0</v>
      </c>
      <c r="D21" s="3" t="s">
        <v>665</v>
      </c>
      <c r="E21" s="8"/>
      <c r="F21" s="46" t="str">
        <f>IF($F$7="","",$F$7)</f>
        <v>Request a written quote</v>
      </c>
      <c r="G21" s="46" t="str">
        <f>$G$7</f>
        <v>A quote-ready enquiry lists: flange type · nominal size (NPS or DN) · pressure class or PN · facing (RF, FF or RTJ) · material specification and grade · bore or schedule for weld neck flanges · quantity · delivery location · testing and certificate needs (NACE, impact test, EN 10204 3.1/3.2, third-party inspection). Upload a BOQ or drawing and we will read it for you.</v>
      </c>
      <c r="H21" s="6">
        <f t="shared" si="1"/>
        <v>70</v>
      </c>
      <c r="I21" s="6" t="str">
        <f t="shared" si="2"/>
        <v>Ready</v>
      </c>
      <c r="J21" s="6" t="s">
        <v>600</v>
      </c>
      <c r="K21" s="8"/>
    </row>
    <row r="22" ht="27.75" customHeight="1">
      <c r="A22" s="8" t="s">
        <v>475</v>
      </c>
      <c r="B22" s="8" t="s">
        <v>42</v>
      </c>
      <c r="C22" s="6">
        <v>12.0</v>
      </c>
      <c r="D22" s="3" t="s">
        <v>344</v>
      </c>
      <c r="E22" s="8" t="s">
        <v>908</v>
      </c>
      <c r="F22" s="3" t="s">
        <v>910</v>
      </c>
      <c r="G22" s="8"/>
      <c r="H22" s="6">
        <f t="shared" si="1"/>
        <v>5</v>
      </c>
      <c r="I22" s="6" t="str">
        <f t="shared" si="2"/>
        <v>Ready</v>
      </c>
      <c r="J22" s="6" t="s">
        <v>591</v>
      </c>
      <c r="K22" s="8" t="s">
        <v>914</v>
      </c>
    </row>
    <row r="23" ht="90.75" customHeight="1">
      <c r="A23" s="8" t="s">
        <v>475</v>
      </c>
      <c r="B23" s="8" t="s">
        <v>42</v>
      </c>
      <c r="C23" s="6">
        <v>13.0</v>
      </c>
      <c r="D23" s="3" t="s">
        <v>684</v>
      </c>
      <c r="E23" s="8" t="s">
        <v>915</v>
      </c>
      <c r="F23" s="3" t="s">
        <v>684</v>
      </c>
      <c r="G23" s="8" t="s">
        <v>916</v>
      </c>
      <c r="H23" s="6">
        <f t="shared" si="1"/>
        <v>25</v>
      </c>
      <c r="I23" s="6" t="str">
        <f t="shared" si="2"/>
        <v>Ready</v>
      </c>
      <c r="J23" s="6" t="s">
        <v>581</v>
      </c>
      <c r="K23" s="8" t="s">
        <v>917</v>
      </c>
    </row>
    <row r="24" ht="40.5" customHeight="1">
      <c r="A24" s="8" t="s">
        <v>475</v>
      </c>
      <c r="B24" s="8" t="s">
        <v>42</v>
      </c>
      <c r="C24" s="6">
        <v>14.0</v>
      </c>
      <c r="D24" s="3" t="s">
        <v>836</v>
      </c>
      <c r="E24" s="8"/>
      <c r="F24" s="46" t="str">
        <f>IF($F$8="","",$F$8)</f>
        <v/>
      </c>
      <c r="G24" s="46" t="str">
        <f>$G$8</f>
        <v>Send your requirement - we reply in writing. Fill the form or upload your BOQ; you get a line-by-line quote by email [CLIENT: reply time, e.g. within one working day]. No phone calls needed - everything is in writing.</v>
      </c>
      <c r="H24" s="6">
        <f t="shared" si="1"/>
        <v>39</v>
      </c>
      <c r="I24" s="6" t="str">
        <f t="shared" si="2"/>
        <v>CLIENT INPUT</v>
      </c>
      <c r="J24" s="6" t="s">
        <v>600</v>
      </c>
      <c r="K24" s="8"/>
    </row>
    <row r="25" ht="15.0" customHeight="1">
      <c r="A25" s="8" t="s">
        <v>587</v>
      </c>
      <c r="B25" s="8" t="s">
        <v>75</v>
      </c>
      <c r="C25" s="6">
        <v>1.0</v>
      </c>
      <c r="D25" s="3" t="s">
        <v>469</v>
      </c>
      <c r="E25" s="8" t="s">
        <v>469</v>
      </c>
      <c r="F25" s="3"/>
      <c r="G25" s="8" t="s">
        <v>680</v>
      </c>
      <c r="H25" s="6">
        <f t="shared" si="1"/>
        <v>10</v>
      </c>
      <c r="I25" s="6" t="str">
        <f t="shared" si="2"/>
        <v>Ready</v>
      </c>
      <c r="J25" s="6" t="s">
        <v>581</v>
      </c>
      <c r="K25" s="8" t="s">
        <v>850</v>
      </c>
    </row>
    <row r="26" ht="15.0" customHeight="1">
      <c r="A26" s="8" t="s">
        <v>587</v>
      </c>
      <c r="B26" s="8" t="s">
        <v>75</v>
      </c>
      <c r="C26" s="6">
        <v>2.0</v>
      </c>
      <c r="D26" s="3" t="s">
        <v>584</v>
      </c>
      <c r="E26" s="8" t="s">
        <v>452</v>
      </c>
      <c r="F26" s="3"/>
      <c r="G26" s="8" t="s">
        <v>605</v>
      </c>
      <c r="H26" s="6">
        <f t="shared" si="1"/>
        <v>9</v>
      </c>
      <c r="I26" s="6" t="str">
        <f t="shared" si="2"/>
        <v>Ready</v>
      </c>
      <c r="J26" s="6" t="s">
        <v>591</v>
      </c>
      <c r="K26" s="8" t="s">
        <v>853</v>
      </c>
    </row>
    <row r="27" ht="27.75" customHeight="1">
      <c r="A27" s="8" t="s">
        <v>587</v>
      </c>
      <c r="B27" s="8" t="s">
        <v>75</v>
      </c>
      <c r="C27" s="6">
        <v>2.0</v>
      </c>
      <c r="D27" s="3" t="s">
        <v>584</v>
      </c>
      <c r="E27" s="8" t="s">
        <v>854</v>
      </c>
      <c r="F27" s="3"/>
      <c r="G27" s="8" t="s">
        <v>607</v>
      </c>
      <c r="H27" s="6">
        <f t="shared" si="1"/>
        <v>12</v>
      </c>
      <c r="I27" s="6" t="str">
        <f t="shared" si="2"/>
        <v>Ready</v>
      </c>
      <c r="J27" s="6" t="s">
        <v>591</v>
      </c>
      <c r="K27" s="8"/>
    </row>
    <row r="28" ht="53.25" customHeight="1">
      <c r="A28" s="8" t="s">
        <v>587</v>
      </c>
      <c r="B28" s="8" t="s">
        <v>75</v>
      </c>
      <c r="C28" s="6">
        <v>2.0</v>
      </c>
      <c r="D28" s="3" t="s">
        <v>584</v>
      </c>
      <c r="E28" s="8" t="s">
        <v>855</v>
      </c>
      <c r="F28" s="3"/>
      <c r="G28" s="8" t="s">
        <v>930</v>
      </c>
      <c r="H28" s="6">
        <f t="shared" si="1"/>
        <v>53</v>
      </c>
      <c r="I28" s="6" t="str">
        <f t="shared" si="2"/>
        <v>CLIENT INPUT</v>
      </c>
      <c r="J28" s="6" t="s">
        <v>591</v>
      </c>
      <c r="K28" s="8" t="s">
        <v>857</v>
      </c>
    </row>
    <row r="29" ht="40.5" customHeight="1">
      <c r="A29" s="8" t="s">
        <v>587</v>
      </c>
      <c r="B29" s="8" t="s">
        <v>75</v>
      </c>
      <c r="C29" s="6">
        <v>3.0</v>
      </c>
      <c r="D29" s="3" t="s">
        <v>312</v>
      </c>
      <c r="E29" s="8"/>
      <c r="F29" s="46" t="str">
        <f>IF($F$5="","",$F$5)</f>
        <v/>
      </c>
      <c r="G29" s="46" t="str">
        <f>$G$5</f>
        <v>GSTIN 27FFLPP0007K1ZA (verify on the GST portal) · GST-registered since 2020 · Proprietorship led by Vikas Purohit, CEO · Manufacturing unit in Mumbai, Maharashtra [CLIENT: locality] · [CLIENT: real certifications only, e.g. ISO 9001:2015 — delete if none] · Written quotes by email, no calls needed</v>
      </c>
      <c r="H29" s="6">
        <f t="shared" si="1"/>
        <v>46</v>
      </c>
      <c r="I29" s="6" t="str">
        <f t="shared" si="2"/>
        <v>CLIENT INPUT</v>
      </c>
      <c r="J29" s="6" t="s">
        <v>600</v>
      </c>
      <c r="K29" s="8"/>
    </row>
    <row r="30" ht="40.5" customHeight="1">
      <c r="A30" s="8" t="s">
        <v>587</v>
      </c>
      <c r="B30" s="8" t="s">
        <v>75</v>
      </c>
      <c r="C30" s="6">
        <v>4.0</v>
      </c>
      <c r="D30" s="3" t="s">
        <v>611</v>
      </c>
      <c r="E30" s="8" t="s">
        <v>867</v>
      </c>
      <c r="F30" s="3" t="s">
        <v>931</v>
      </c>
      <c r="G30" s="8" t="s">
        <v>932</v>
      </c>
      <c r="H30" s="6">
        <f t="shared" si="1"/>
        <v>35</v>
      </c>
      <c r="I30" s="6" t="str">
        <f t="shared" si="2"/>
        <v>Ready</v>
      </c>
      <c r="J30" s="6" t="s">
        <v>591</v>
      </c>
      <c r="K30" s="8" t="s">
        <v>873</v>
      </c>
    </row>
    <row r="31" ht="116.25" customHeight="1">
      <c r="A31" s="8" t="s">
        <v>587</v>
      </c>
      <c r="B31" s="8" t="s">
        <v>75</v>
      </c>
      <c r="C31" s="6">
        <v>5.0</v>
      </c>
      <c r="D31" s="3" t="s">
        <v>619</v>
      </c>
      <c r="E31" s="8" t="s">
        <v>874</v>
      </c>
      <c r="F31" s="3" t="s">
        <v>933</v>
      </c>
      <c r="G31" s="8" t="s">
        <v>934</v>
      </c>
      <c r="H31" s="6">
        <f t="shared" si="1"/>
        <v>158</v>
      </c>
      <c r="I31" s="6" t="str">
        <f t="shared" si="2"/>
        <v>CLIENT INPUT</v>
      </c>
      <c r="J31" s="6" t="s">
        <v>591</v>
      </c>
      <c r="K31" s="8" t="s">
        <v>877</v>
      </c>
    </row>
    <row r="32" ht="40.5" customHeight="1">
      <c r="A32" s="8" t="s">
        <v>587</v>
      </c>
      <c r="B32" s="8" t="s">
        <v>75</v>
      </c>
      <c r="C32" s="6">
        <v>6.0</v>
      </c>
      <c r="D32" s="3" t="s">
        <v>627</v>
      </c>
      <c r="E32" s="8" t="s">
        <v>867</v>
      </c>
      <c r="F32" s="3" t="s">
        <v>935</v>
      </c>
      <c r="G32" s="8" t="s">
        <v>936</v>
      </c>
      <c r="H32" s="6">
        <f t="shared" si="1"/>
        <v>43</v>
      </c>
      <c r="I32" s="6" t="str">
        <f t="shared" si="2"/>
        <v>CLIENT INPUT</v>
      </c>
      <c r="J32" s="6" t="s">
        <v>632</v>
      </c>
      <c r="K32" s="8" t="s">
        <v>937</v>
      </c>
    </row>
    <row r="33" ht="78.0" customHeight="1">
      <c r="A33" s="8" t="s">
        <v>587</v>
      </c>
      <c r="B33" s="8" t="s">
        <v>75</v>
      </c>
      <c r="C33" s="6">
        <v>7.0</v>
      </c>
      <c r="D33" s="3" t="s">
        <v>636</v>
      </c>
      <c r="E33" s="8"/>
      <c r="F33" s="46" t="str">
        <f>IF($F$6="","",$F$6)</f>
        <v>How every flange is made and checked</v>
      </c>
      <c r="G33" s="46" t="str">
        <f>$G$6</f>
        <v>Every flange starts as a certified billet or bar whose heat number follows it through cutting, forging, heat treatment where the material specification requires it, CNC machining and drilling, and final marking of grade, class, size and heat number. Before dispatch we check dimensions against the governing standard and [CLIENT: list only tests actually done in-house, e.g. PMI, hardness, ultrasonic], and issue material test certificates that tie each flange back to its heat. Buyer-nominated third-party inspection can witness any stage [CONFIRM].</v>
      </c>
      <c r="H33" s="6">
        <f t="shared" si="1"/>
        <v>88</v>
      </c>
      <c r="I33" s="6" t="str">
        <f t="shared" si="2"/>
        <v>CLIENT INPUT</v>
      </c>
      <c r="J33" s="6" t="s">
        <v>600</v>
      </c>
      <c r="K33" s="8"/>
    </row>
    <row r="34" ht="90.75" customHeight="1">
      <c r="A34" s="8" t="s">
        <v>587</v>
      </c>
      <c r="B34" s="8" t="s">
        <v>75</v>
      </c>
      <c r="C34" s="6">
        <v>8.0</v>
      </c>
      <c r="D34" s="3" t="s">
        <v>642</v>
      </c>
      <c r="E34" s="8" t="s">
        <v>874</v>
      </c>
      <c r="F34" s="3" t="s">
        <v>946</v>
      </c>
      <c r="G34" s="8" t="s">
        <v>947</v>
      </c>
      <c r="H34" s="6">
        <f t="shared" si="1"/>
        <v>97</v>
      </c>
      <c r="I34" s="6" t="str">
        <f t="shared" si="2"/>
        <v>CLIENT INPUT</v>
      </c>
      <c r="J34" s="6" t="s">
        <v>591</v>
      </c>
      <c r="K34" s="8"/>
    </row>
    <row r="35" ht="40.5" customHeight="1">
      <c r="A35" s="8" t="s">
        <v>587</v>
      </c>
      <c r="B35" s="8" t="s">
        <v>75</v>
      </c>
      <c r="C35" s="6">
        <v>9.0</v>
      </c>
      <c r="D35" s="3" t="s">
        <v>650</v>
      </c>
      <c r="E35" s="8" t="s">
        <v>874</v>
      </c>
      <c r="F35" s="3" t="s">
        <v>950</v>
      </c>
      <c r="G35" s="8" t="s">
        <v>952</v>
      </c>
      <c r="H35" s="6">
        <f t="shared" si="1"/>
        <v>42</v>
      </c>
      <c r="I35" s="6" t="str">
        <f t="shared" si="2"/>
        <v>CLIENT INPUT</v>
      </c>
      <c r="J35" s="6" t="s">
        <v>591</v>
      </c>
      <c r="K35" s="8" t="s">
        <v>896</v>
      </c>
    </row>
    <row r="36" ht="53.25" customHeight="1">
      <c r="A36" s="8" t="s">
        <v>587</v>
      </c>
      <c r="B36" s="8" t="s">
        <v>75</v>
      </c>
      <c r="C36" s="6">
        <v>10.0</v>
      </c>
      <c r="D36" s="3" t="s">
        <v>657</v>
      </c>
      <c r="E36" s="8" t="s">
        <v>874</v>
      </c>
      <c r="F36" s="3" t="s">
        <v>954</v>
      </c>
      <c r="G36" s="8" t="s">
        <v>955</v>
      </c>
      <c r="H36" s="6">
        <f t="shared" si="1"/>
        <v>51</v>
      </c>
      <c r="I36" s="6" t="str">
        <f t="shared" si="2"/>
        <v>CLIENT INPUT</v>
      </c>
      <c r="J36" s="6" t="s">
        <v>591</v>
      </c>
      <c r="K36" s="8" t="s">
        <v>899</v>
      </c>
    </row>
    <row r="37" ht="53.25" customHeight="1">
      <c r="A37" s="8" t="s">
        <v>587</v>
      </c>
      <c r="B37" s="8" t="s">
        <v>75</v>
      </c>
      <c r="C37" s="6">
        <v>11.0</v>
      </c>
      <c r="D37" s="3" t="s">
        <v>665</v>
      </c>
      <c r="E37" s="8"/>
      <c r="F37" s="46" t="str">
        <f>IF($F$7="","",$F$7)</f>
        <v>Request a written quote</v>
      </c>
      <c r="G37" s="46" t="str">
        <f>$G$7</f>
        <v>A quote-ready enquiry lists: flange type · nominal size (NPS or DN) · pressure class or PN · facing (RF, FF or RTJ) · material specification and grade · bore or schedule for weld neck flanges · quantity · delivery location · testing and certificate needs (NACE, impact test, EN 10204 3.1/3.2, third-party inspection). Upload a BOQ or drawing and we will read it for you.</v>
      </c>
      <c r="H37" s="6">
        <f t="shared" si="1"/>
        <v>70</v>
      </c>
      <c r="I37" s="6" t="str">
        <f t="shared" si="2"/>
        <v>Ready</v>
      </c>
      <c r="J37" s="6" t="s">
        <v>600</v>
      </c>
      <c r="K37" s="8"/>
    </row>
    <row r="38" ht="15.0" customHeight="1">
      <c r="A38" s="8" t="s">
        <v>587</v>
      </c>
      <c r="B38" s="8" t="s">
        <v>75</v>
      </c>
      <c r="C38" s="6">
        <v>12.0</v>
      </c>
      <c r="D38" s="3" t="s">
        <v>344</v>
      </c>
      <c r="E38" s="8" t="s">
        <v>908</v>
      </c>
      <c r="F38" s="3" t="s">
        <v>961</v>
      </c>
      <c r="G38" s="8"/>
      <c r="H38" s="6">
        <f t="shared" si="1"/>
        <v>5</v>
      </c>
      <c r="I38" s="6" t="str">
        <f t="shared" si="2"/>
        <v>Ready</v>
      </c>
      <c r="J38" s="6" t="s">
        <v>591</v>
      </c>
      <c r="K38" s="8" t="s">
        <v>914</v>
      </c>
    </row>
    <row r="39" ht="66.0" customHeight="1">
      <c r="A39" s="8" t="s">
        <v>587</v>
      </c>
      <c r="B39" s="8" t="s">
        <v>75</v>
      </c>
      <c r="C39" s="6">
        <v>13.0</v>
      </c>
      <c r="D39" s="3" t="s">
        <v>684</v>
      </c>
      <c r="E39" s="8" t="s">
        <v>915</v>
      </c>
      <c r="F39" s="3" t="s">
        <v>684</v>
      </c>
      <c r="G39" s="8" t="s">
        <v>964</v>
      </c>
      <c r="H39" s="6">
        <f t="shared" si="1"/>
        <v>18</v>
      </c>
      <c r="I39" s="6" t="str">
        <f t="shared" si="2"/>
        <v>Ready</v>
      </c>
      <c r="J39" s="6" t="s">
        <v>581</v>
      </c>
      <c r="K39" s="8" t="s">
        <v>965</v>
      </c>
    </row>
    <row r="40" ht="40.5" customHeight="1">
      <c r="A40" s="8" t="s">
        <v>587</v>
      </c>
      <c r="B40" s="8" t="s">
        <v>75</v>
      </c>
      <c r="C40" s="6">
        <v>14.0</v>
      </c>
      <c r="D40" s="3" t="s">
        <v>836</v>
      </c>
      <c r="E40" s="8"/>
      <c r="F40" s="46" t="str">
        <f>IF($F$8="","",$F$8)</f>
        <v/>
      </c>
      <c r="G40" s="46" t="str">
        <f>$G$8</f>
        <v>Send your requirement - we reply in writing. Fill the form or upload your BOQ; you get a line-by-line quote by email [CLIENT: reply time, e.g. within one working day]. No phone calls needed - everything is in writing.</v>
      </c>
      <c r="H40" s="6">
        <f t="shared" si="1"/>
        <v>39</v>
      </c>
      <c r="I40" s="6" t="str">
        <f t="shared" si="2"/>
        <v>CLIENT INPUT</v>
      </c>
      <c r="J40" s="6" t="s">
        <v>600</v>
      </c>
      <c r="K40" s="8"/>
    </row>
    <row r="41" ht="15.0" customHeight="1">
      <c r="A41" s="8" t="s">
        <v>687</v>
      </c>
      <c r="B41" s="8" t="s">
        <v>106</v>
      </c>
      <c r="C41" s="6">
        <v>1.0</v>
      </c>
      <c r="D41" s="3" t="s">
        <v>469</v>
      </c>
      <c r="E41" s="8" t="s">
        <v>469</v>
      </c>
      <c r="F41" s="3"/>
      <c r="G41" s="8" t="s">
        <v>731</v>
      </c>
      <c r="H41" s="6">
        <f t="shared" si="1"/>
        <v>10</v>
      </c>
      <c r="I41" s="6" t="str">
        <f t="shared" si="2"/>
        <v>Ready</v>
      </c>
      <c r="J41" s="6" t="s">
        <v>581</v>
      </c>
      <c r="K41" s="8" t="s">
        <v>850</v>
      </c>
    </row>
    <row r="42" ht="15.0" customHeight="1">
      <c r="A42" s="8" t="s">
        <v>687</v>
      </c>
      <c r="B42" s="8" t="s">
        <v>106</v>
      </c>
      <c r="C42" s="6">
        <v>2.0</v>
      </c>
      <c r="D42" s="3" t="s">
        <v>584</v>
      </c>
      <c r="E42" s="8" t="s">
        <v>452</v>
      </c>
      <c r="F42" s="3"/>
      <c r="G42" s="8" t="s">
        <v>705</v>
      </c>
      <c r="H42" s="6">
        <f t="shared" si="1"/>
        <v>4</v>
      </c>
      <c r="I42" s="6" t="str">
        <f t="shared" si="2"/>
        <v>Ready</v>
      </c>
      <c r="J42" s="6" t="s">
        <v>591</v>
      </c>
      <c r="K42" s="8" t="s">
        <v>853</v>
      </c>
    </row>
    <row r="43" ht="27.75" customHeight="1">
      <c r="A43" s="8" t="s">
        <v>687</v>
      </c>
      <c r="B43" s="8" t="s">
        <v>106</v>
      </c>
      <c r="C43" s="6">
        <v>2.0</v>
      </c>
      <c r="D43" s="3" t="s">
        <v>584</v>
      </c>
      <c r="E43" s="8" t="s">
        <v>854</v>
      </c>
      <c r="F43" s="3"/>
      <c r="G43" s="8" t="s">
        <v>706</v>
      </c>
      <c r="H43" s="6">
        <f t="shared" si="1"/>
        <v>14</v>
      </c>
      <c r="I43" s="6" t="str">
        <f t="shared" si="2"/>
        <v>Ready</v>
      </c>
      <c r="J43" s="6" t="s">
        <v>591</v>
      </c>
      <c r="K43" s="8"/>
    </row>
    <row r="44" ht="53.25" customHeight="1">
      <c r="A44" s="8" t="s">
        <v>687</v>
      </c>
      <c r="B44" s="8" t="s">
        <v>106</v>
      </c>
      <c r="C44" s="6">
        <v>2.0</v>
      </c>
      <c r="D44" s="3" t="s">
        <v>584</v>
      </c>
      <c r="E44" s="8" t="s">
        <v>855</v>
      </c>
      <c r="F44" s="3"/>
      <c r="G44" s="8" t="s">
        <v>971</v>
      </c>
      <c r="H44" s="6">
        <f t="shared" si="1"/>
        <v>46</v>
      </c>
      <c r="I44" s="6" t="str">
        <f t="shared" si="2"/>
        <v>CLIENT INPUT</v>
      </c>
      <c r="J44" s="6" t="s">
        <v>591</v>
      </c>
      <c r="K44" s="8" t="s">
        <v>857</v>
      </c>
    </row>
    <row r="45" ht="40.5" customHeight="1">
      <c r="A45" s="8" t="s">
        <v>687</v>
      </c>
      <c r="B45" s="8" t="s">
        <v>106</v>
      </c>
      <c r="C45" s="6">
        <v>3.0</v>
      </c>
      <c r="D45" s="3" t="s">
        <v>312</v>
      </c>
      <c r="E45" s="8"/>
      <c r="F45" s="46" t="str">
        <f>IF($F$5="","",$F$5)</f>
        <v/>
      </c>
      <c r="G45" s="46" t="str">
        <f>$G$5</f>
        <v>GSTIN 27FFLPP0007K1ZA (verify on the GST portal) · GST-registered since 2020 · Proprietorship led by Vikas Purohit, CEO · Manufacturing unit in Mumbai, Maharashtra [CLIENT: locality] · [CLIENT: real certifications only, e.g. ISO 9001:2015 — delete if none] · Written quotes by email, no calls needed</v>
      </c>
      <c r="H45" s="6">
        <f t="shared" si="1"/>
        <v>46</v>
      </c>
      <c r="I45" s="6" t="str">
        <f t="shared" si="2"/>
        <v>CLIENT INPUT</v>
      </c>
      <c r="J45" s="6" t="s">
        <v>600</v>
      </c>
      <c r="K45" s="8"/>
    </row>
    <row r="46" ht="40.5" customHeight="1">
      <c r="A46" s="8" t="s">
        <v>687</v>
      </c>
      <c r="B46" s="8" t="s">
        <v>106</v>
      </c>
      <c r="C46" s="6">
        <v>4.0</v>
      </c>
      <c r="D46" s="3" t="s">
        <v>611</v>
      </c>
      <c r="E46" s="8" t="s">
        <v>867</v>
      </c>
      <c r="F46" s="3" t="s">
        <v>984</v>
      </c>
      <c r="G46" s="8" t="s">
        <v>985</v>
      </c>
      <c r="H46" s="6">
        <f t="shared" si="1"/>
        <v>38</v>
      </c>
      <c r="I46" s="6" t="str">
        <f t="shared" si="2"/>
        <v>Ready</v>
      </c>
      <c r="J46" s="6" t="s">
        <v>591</v>
      </c>
      <c r="K46" s="8" t="s">
        <v>873</v>
      </c>
    </row>
    <row r="47" ht="129.0" customHeight="1">
      <c r="A47" s="8" t="s">
        <v>687</v>
      </c>
      <c r="B47" s="8" t="s">
        <v>106</v>
      </c>
      <c r="C47" s="6">
        <v>5.0</v>
      </c>
      <c r="D47" s="3" t="s">
        <v>619</v>
      </c>
      <c r="E47" s="8" t="s">
        <v>874</v>
      </c>
      <c r="F47" s="3" t="s">
        <v>991</v>
      </c>
      <c r="G47" s="8" t="s">
        <v>992</v>
      </c>
      <c r="H47" s="6">
        <f t="shared" si="1"/>
        <v>148</v>
      </c>
      <c r="I47" s="6" t="str">
        <f t="shared" si="2"/>
        <v>CLIENT INPUT</v>
      </c>
      <c r="J47" s="6" t="s">
        <v>591</v>
      </c>
      <c r="K47" s="8" t="s">
        <v>877</v>
      </c>
    </row>
    <row r="48" ht="40.5" customHeight="1">
      <c r="A48" s="8" t="s">
        <v>687</v>
      </c>
      <c r="B48" s="8" t="s">
        <v>106</v>
      </c>
      <c r="C48" s="6">
        <v>6.0</v>
      </c>
      <c r="D48" s="3" t="s">
        <v>627</v>
      </c>
      <c r="E48" s="8" t="s">
        <v>867</v>
      </c>
      <c r="F48" s="3" t="s">
        <v>997</v>
      </c>
      <c r="G48" s="8" t="s">
        <v>999</v>
      </c>
      <c r="H48" s="6">
        <f t="shared" si="1"/>
        <v>36</v>
      </c>
      <c r="I48" s="6" t="str">
        <f t="shared" si="2"/>
        <v>CLIENT INPUT</v>
      </c>
      <c r="J48" s="6" t="s">
        <v>632</v>
      </c>
      <c r="K48" s="8" t="s">
        <v>1000</v>
      </c>
    </row>
    <row r="49" ht="78.0" customHeight="1">
      <c r="A49" s="8" t="s">
        <v>687</v>
      </c>
      <c r="B49" s="8" t="s">
        <v>106</v>
      </c>
      <c r="C49" s="6">
        <v>7.0</v>
      </c>
      <c r="D49" s="3" t="s">
        <v>636</v>
      </c>
      <c r="E49" s="8"/>
      <c r="F49" s="46" t="str">
        <f>IF($F$6="","",$F$6)</f>
        <v>How every flange is made and checked</v>
      </c>
      <c r="G49" s="46" t="str">
        <f>$G$6</f>
        <v>Every flange starts as a certified billet or bar whose heat number follows it through cutting, forging, heat treatment where the material specification requires it, CNC machining and drilling, and final marking of grade, class, size and heat number. Before dispatch we check dimensions against the governing standard and [CLIENT: list only tests actually done in-house, e.g. PMI, hardness, ultrasonic], and issue material test certificates that tie each flange back to its heat. Buyer-nominated third-party inspection can witness any stage [CONFIRM].</v>
      </c>
      <c r="H49" s="6">
        <f t="shared" si="1"/>
        <v>88</v>
      </c>
      <c r="I49" s="6" t="str">
        <f t="shared" si="2"/>
        <v>CLIENT INPUT</v>
      </c>
      <c r="J49" s="6" t="s">
        <v>600</v>
      </c>
      <c r="K49" s="8"/>
    </row>
    <row r="50" ht="78.0" customHeight="1">
      <c r="A50" s="8" t="s">
        <v>687</v>
      </c>
      <c r="B50" s="8" t="s">
        <v>106</v>
      </c>
      <c r="C50" s="6">
        <v>8.0</v>
      </c>
      <c r="D50" s="3" t="s">
        <v>642</v>
      </c>
      <c r="E50" s="8" t="s">
        <v>874</v>
      </c>
      <c r="F50" s="3" t="s">
        <v>1008</v>
      </c>
      <c r="G50" s="8" t="s">
        <v>1009</v>
      </c>
      <c r="H50" s="6">
        <f t="shared" si="1"/>
        <v>84</v>
      </c>
      <c r="I50" s="6" t="str">
        <f t="shared" si="2"/>
        <v>CLIENT INPUT</v>
      </c>
      <c r="J50" s="6" t="s">
        <v>591</v>
      </c>
      <c r="K50" s="8"/>
    </row>
    <row r="51" ht="40.5" customHeight="1">
      <c r="A51" s="8" t="s">
        <v>687</v>
      </c>
      <c r="B51" s="8" t="s">
        <v>106</v>
      </c>
      <c r="C51" s="6">
        <v>9.0</v>
      </c>
      <c r="D51" s="3" t="s">
        <v>650</v>
      </c>
      <c r="E51" s="8" t="s">
        <v>874</v>
      </c>
      <c r="F51" s="3" t="s">
        <v>1016</v>
      </c>
      <c r="G51" s="8" t="s">
        <v>1017</v>
      </c>
      <c r="H51" s="6">
        <f t="shared" si="1"/>
        <v>41</v>
      </c>
      <c r="I51" s="6" t="str">
        <f t="shared" si="2"/>
        <v>CLIENT INPUT</v>
      </c>
      <c r="J51" s="6" t="s">
        <v>591</v>
      </c>
      <c r="K51" s="8" t="s">
        <v>896</v>
      </c>
    </row>
    <row r="52" ht="53.25" customHeight="1">
      <c r="A52" s="8" t="s">
        <v>687</v>
      </c>
      <c r="B52" s="8" t="s">
        <v>106</v>
      </c>
      <c r="C52" s="6">
        <v>10.0</v>
      </c>
      <c r="D52" s="3" t="s">
        <v>657</v>
      </c>
      <c r="E52" s="8" t="s">
        <v>874</v>
      </c>
      <c r="F52" s="3" t="s">
        <v>1018</v>
      </c>
      <c r="G52" s="8" t="s">
        <v>1020</v>
      </c>
      <c r="H52" s="6">
        <f t="shared" si="1"/>
        <v>47</v>
      </c>
      <c r="I52" s="6" t="str">
        <f t="shared" si="2"/>
        <v>CLIENT INPUT</v>
      </c>
      <c r="J52" s="6" t="s">
        <v>591</v>
      </c>
      <c r="K52" s="8" t="s">
        <v>899</v>
      </c>
    </row>
    <row r="53" ht="53.25" customHeight="1">
      <c r="A53" s="8" t="s">
        <v>687</v>
      </c>
      <c r="B53" s="8" t="s">
        <v>106</v>
      </c>
      <c r="C53" s="6">
        <v>11.0</v>
      </c>
      <c r="D53" s="3" t="s">
        <v>665</v>
      </c>
      <c r="E53" s="8"/>
      <c r="F53" s="46" t="str">
        <f>IF($F$7="","",$F$7)</f>
        <v>Request a written quote</v>
      </c>
      <c r="G53" s="46" t="str">
        <f>$G$7</f>
        <v>A quote-ready enquiry lists: flange type · nominal size (NPS or DN) · pressure class or PN · facing (RF, FF or RTJ) · material specification and grade · bore or schedule for weld neck flanges · quantity · delivery location · testing and certificate needs (NACE, impact test, EN 10204 3.1/3.2, third-party inspection). Upload a BOQ or drawing and we will read it for you.</v>
      </c>
      <c r="H53" s="6">
        <f t="shared" si="1"/>
        <v>70</v>
      </c>
      <c r="I53" s="6" t="str">
        <f t="shared" si="2"/>
        <v>Ready</v>
      </c>
      <c r="J53" s="6" t="s">
        <v>600</v>
      </c>
      <c r="K53" s="8"/>
    </row>
    <row r="54" ht="15.0" customHeight="1">
      <c r="A54" s="8" t="s">
        <v>687</v>
      </c>
      <c r="B54" s="8" t="s">
        <v>106</v>
      </c>
      <c r="C54" s="6">
        <v>12.0</v>
      </c>
      <c r="D54" s="3" t="s">
        <v>344</v>
      </c>
      <c r="E54" s="8" t="s">
        <v>908</v>
      </c>
      <c r="F54" s="3" t="s">
        <v>1026</v>
      </c>
      <c r="G54" s="8"/>
      <c r="H54" s="6">
        <f t="shared" si="1"/>
        <v>5</v>
      </c>
      <c r="I54" s="6" t="str">
        <f t="shared" si="2"/>
        <v>Ready</v>
      </c>
      <c r="J54" s="6" t="s">
        <v>591</v>
      </c>
      <c r="K54" s="8" t="s">
        <v>914</v>
      </c>
    </row>
    <row r="55" ht="66.0" customHeight="1">
      <c r="A55" s="8" t="s">
        <v>687</v>
      </c>
      <c r="B55" s="8" t="s">
        <v>106</v>
      </c>
      <c r="C55" s="6">
        <v>13.0</v>
      </c>
      <c r="D55" s="3" t="s">
        <v>684</v>
      </c>
      <c r="E55" s="8" t="s">
        <v>915</v>
      </c>
      <c r="F55" s="3" t="s">
        <v>684</v>
      </c>
      <c r="G55" s="8" t="s">
        <v>1029</v>
      </c>
      <c r="H55" s="6">
        <f t="shared" si="1"/>
        <v>14</v>
      </c>
      <c r="I55" s="6" t="str">
        <f t="shared" si="2"/>
        <v>Ready</v>
      </c>
      <c r="J55" s="6" t="s">
        <v>581</v>
      </c>
      <c r="K55" s="8" t="s">
        <v>1032</v>
      </c>
    </row>
    <row r="56" ht="40.5" customHeight="1">
      <c r="A56" s="8" t="s">
        <v>687</v>
      </c>
      <c r="B56" s="8" t="s">
        <v>106</v>
      </c>
      <c r="C56" s="6">
        <v>14.0</v>
      </c>
      <c r="D56" s="3" t="s">
        <v>836</v>
      </c>
      <c r="E56" s="8"/>
      <c r="F56" s="46" t="str">
        <f>IF($F$8="","",$F$8)</f>
        <v/>
      </c>
      <c r="G56" s="46" t="str">
        <f>$G$8</f>
        <v>Send your requirement - we reply in writing. Fill the form or upload your BOQ; you get a line-by-line quote by email [CLIENT: reply time, e.g. within one working day]. No phone calls needed - everything is in writing.</v>
      </c>
      <c r="H56" s="6">
        <f t="shared" si="1"/>
        <v>39</v>
      </c>
      <c r="I56" s="6" t="str">
        <f t="shared" si="2"/>
        <v>CLIENT INPUT</v>
      </c>
      <c r="J56" s="6" t="s">
        <v>600</v>
      </c>
      <c r="K56" s="8"/>
    </row>
    <row r="57" ht="15.0" customHeight="1">
      <c r="A57" s="8" t="s">
        <v>734</v>
      </c>
      <c r="B57" s="8" t="s">
        <v>137</v>
      </c>
      <c r="C57" s="6">
        <v>1.0</v>
      </c>
      <c r="D57" s="3" t="s">
        <v>469</v>
      </c>
      <c r="E57" s="8" t="s">
        <v>469</v>
      </c>
      <c r="F57" s="3"/>
      <c r="G57" s="8" t="s">
        <v>774</v>
      </c>
      <c r="H57" s="6">
        <f t="shared" si="1"/>
        <v>10</v>
      </c>
      <c r="I57" s="6" t="str">
        <f t="shared" si="2"/>
        <v>Ready</v>
      </c>
      <c r="J57" s="6" t="s">
        <v>581</v>
      </c>
      <c r="K57" s="8" t="s">
        <v>850</v>
      </c>
    </row>
    <row r="58" ht="15.0" customHeight="1">
      <c r="A58" s="8" t="s">
        <v>734</v>
      </c>
      <c r="B58" s="8" t="s">
        <v>137</v>
      </c>
      <c r="C58" s="6">
        <v>2.0</v>
      </c>
      <c r="D58" s="3" t="s">
        <v>584</v>
      </c>
      <c r="E58" s="8" t="s">
        <v>452</v>
      </c>
      <c r="F58" s="3"/>
      <c r="G58" s="8" t="s">
        <v>743</v>
      </c>
      <c r="H58" s="6">
        <f t="shared" si="1"/>
        <v>7</v>
      </c>
      <c r="I58" s="6" t="str">
        <f t="shared" si="2"/>
        <v>Ready</v>
      </c>
      <c r="J58" s="6" t="s">
        <v>591</v>
      </c>
      <c r="K58" s="8" t="s">
        <v>853</v>
      </c>
    </row>
    <row r="59" ht="15.0" customHeight="1">
      <c r="A59" s="8" t="s">
        <v>734</v>
      </c>
      <c r="B59" s="8" t="s">
        <v>137</v>
      </c>
      <c r="C59" s="6">
        <v>2.0</v>
      </c>
      <c r="D59" s="3" t="s">
        <v>584</v>
      </c>
      <c r="E59" s="8" t="s">
        <v>854</v>
      </c>
      <c r="F59" s="3"/>
      <c r="G59" s="8" t="s">
        <v>744</v>
      </c>
      <c r="H59" s="6">
        <f t="shared" si="1"/>
        <v>12</v>
      </c>
      <c r="I59" s="6" t="str">
        <f t="shared" si="2"/>
        <v>Ready</v>
      </c>
      <c r="J59" s="6" t="s">
        <v>591</v>
      </c>
      <c r="K59" s="8"/>
    </row>
    <row r="60" ht="53.25" customHeight="1">
      <c r="A60" s="8" t="s">
        <v>734</v>
      </c>
      <c r="B60" s="8" t="s">
        <v>137</v>
      </c>
      <c r="C60" s="6">
        <v>2.0</v>
      </c>
      <c r="D60" s="3" t="s">
        <v>584</v>
      </c>
      <c r="E60" s="8" t="s">
        <v>855</v>
      </c>
      <c r="F60" s="3"/>
      <c r="G60" s="8" t="s">
        <v>1054</v>
      </c>
      <c r="H60" s="6">
        <f t="shared" si="1"/>
        <v>53</v>
      </c>
      <c r="I60" s="6" t="str">
        <f t="shared" si="2"/>
        <v>CLIENT INPUT</v>
      </c>
      <c r="J60" s="6" t="s">
        <v>591</v>
      </c>
      <c r="K60" s="8" t="s">
        <v>857</v>
      </c>
    </row>
    <row r="61" ht="40.5" customHeight="1">
      <c r="A61" s="8" t="s">
        <v>734</v>
      </c>
      <c r="B61" s="8" t="s">
        <v>137</v>
      </c>
      <c r="C61" s="6">
        <v>3.0</v>
      </c>
      <c r="D61" s="3" t="s">
        <v>312</v>
      </c>
      <c r="E61" s="8"/>
      <c r="F61" s="46" t="str">
        <f>IF($F$5="","",$F$5)</f>
        <v/>
      </c>
      <c r="G61" s="46" t="str">
        <f>$G$5</f>
        <v>GSTIN 27FFLPP0007K1ZA (verify on the GST portal) · GST-registered since 2020 · Proprietorship led by Vikas Purohit, CEO · Manufacturing unit in Mumbai, Maharashtra [CLIENT: locality] · [CLIENT: real certifications only, e.g. ISO 9001:2015 — delete if none] · Written quotes by email, no calls needed</v>
      </c>
      <c r="H61" s="6">
        <f t="shared" si="1"/>
        <v>46</v>
      </c>
      <c r="I61" s="6" t="str">
        <f t="shared" si="2"/>
        <v>CLIENT INPUT</v>
      </c>
      <c r="J61" s="6" t="s">
        <v>600</v>
      </c>
      <c r="K61" s="8"/>
    </row>
    <row r="62" ht="40.5" customHeight="1">
      <c r="A62" s="8" t="s">
        <v>734</v>
      </c>
      <c r="B62" s="8" t="s">
        <v>137</v>
      </c>
      <c r="C62" s="6">
        <v>4.0</v>
      </c>
      <c r="D62" s="3" t="s">
        <v>611</v>
      </c>
      <c r="E62" s="8" t="s">
        <v>867</v>
      </c>
      <c r="F62" s="3" t="s">
        <v>1070</v>
      </c>
      <c r="G62" s="8" t="s">
        <v>1071</v>
      </c>
      <c r="H62" s="6">
        <f t="shared" si="1"/>
        <v>33</v>
      </c>
      <c r="I62" s="6" t="str">
        <f t="shared" si="2"/>
        <v>Ready</v>
      </c>
      <c r="J62" s="6" t="s">
        <v>591</v>
      </c>
      <c r="K62" s="8" t="s">
        <v>873</v>
      </c>
    </row>
    <row r="63" ht="153.75" customHeight="1">
      <c r="A63" s="8" t="s">
        <v>734</v>
      </c>
      <c r="B63" s="8" t="s">
        <v>137</v>
      </c>
      <c r="C63" s="6">
        <v>5.0</v>
      </c>
      <c r="D63" s="3" t="s">
        <v>619</v>
      </c>
      <c r="E63" s="8" t="s">
        <v>874</v>
      </c>
      <c r="F63" s="3" t="s">
        <v>1077</v>
      </c>
      <c r="G63" s="8" t="s">
        <v>1079</v>
      </c>
      <c r="H63" s="6">
        <f t="shared" si="1"/>
        <v>161</v>
      </c>
      <c r="I63" s="6" t="str">
        <f t="shared" si="2"/>
        <v>Ready</v>
      </c>
      <c r="J63" s="6" t="s">
        <v>591</v>
      </c>
      <c r="K63" s="8" t="s">
        <v>1080</v>
      </c>
    </row>
    <row r="64" ht="40.5" customHeight="1">
      <c r="A64" s="8" t="s">
        <v>734</v>
      </c>
      <c r="B64" s="8" t="s">
        <v>137</v>
      </c>
      <c r="C64" s="6">
        <v>6.0</v>
      </c>
      <c r="D64" s="3" t="s">
        <v>627</v>
      </c>
      <c r="E64" s="8" t="s">
        <v>867</v>
      </c>
      <c r="F64" s="3" t="s">
        <v>1082</v>
      </c>
      <c r="G64" s="8" t="s">
        <v>1084</v>
      </c>
      <c r="H64" s="6">
        <f t="shared" si="1"/>
        <v>46</v>
      </c>
      <c r="I64" s="6" t="str">
        <f t="shared" si="2"/>
        <v>CLIENT INPUT</v>
      </c>
      <c r="J64" s="6" t="s">
        <v>632</v>
      </c>
      <c r="K64" s="8" t="s">
        <v>1085</v>
      </c>
    </row>
    <row r="65" ht="78.0" customHeight="1">
      <c r="A65" s="8" t="s">
        <v>734</v>
      </c>
      <c r="B65" s="8" t="s">
        <v>137</v>
      </c>
      <c r="C65" s="6">
        <v>7.0</v>
      </c>
      <c r="D65" s="3" t="s">
        <v>636</v>
      </c>
      <c r="E65" s="8"/>
      <c r="F65" s="46" t="str">
        <f>IF($F$6="","",$F$6)</f>
        <v>How every flange is made and checked</v>
      </c>
      <c r="G65" s="46" t="str">
        <f>$G$6</f>
        <v>Every flange starts as a certified billet or bar whose heat number follows it through cutting, forging, heat treatment where the material specification requires it, CNC machining and drilling, and final marking of grade, class, size and heat number. Before dispatch we check dimensions against the governing standard and [CLIENT: list only tests actually done in-house, e.g. PMI, hardness, ultrasonic], and issue material test certificates that tie each flange back to its heat. Buyer-nominated third-party inspection can witness any stage [CONFIRM].</v>
      </c>
      <c r="H65" s="6">
        <f t="shared" si="1"/>
        <v>88</v>
      </c>
      <c r="I65" s="6" t="str">
        <f t="shared" si="2"/>
        <v>CLIENT INPUT</v>
      </c>
      <c r="J65" s="6" t="s">
        <v>600</v>
      </c>
      <c r="K65" s="8"/>
    </row>
    <row r="66" ht="78.0" customHeight="1">
      <c r="A66" s="8" t="s">
        <v>734</v>
      </c>
      <c r="B66" s="8" t="s">
        <v>137</v>
      </c>
      <c r="C66" s="6">
        <v>8.0</v>
      </c>
      <c r="D66" s="3" t="s">
        <v>642</v>
      </c>
      <c r="E66" s="8" t="s">
        <v>874</v>
      </c>
      <c r="F66" s="3" t="s">
        <v>1092</v>
      </c>
      <c r="G66" s="8" t="s">
        <v>1093</v>
      </c>
      <c r="H66" s="6">
        <f t="shared" si="1"/>
        <v>88</v>
      </c>
      <c r="I66" s="6" t="str">
        <f t="shared" si="2"/>
        <v>CLIENT INPUT</v>
      </c>
      <c r="J66" s="6" t="s">
        <v>591</v>
      </c>
      <c r="K66" s="8"/>
    </row>
    <row r="67" ht="40.5" customHeight="1">
      <c r="A67" s="8" t="s">
        <v>734</v>
      </c>
      <c r="B67" s="8" t="s">
        <v>137</v>
      </c>
      <c r="C67" s="6">
        <v>9.0</v>
      </c>
      <c r="D67" s="3" t="s">
        <v>650</v>
      </c>
      <c r="E67" s="8" t="s">
        <v>874</v>
      </c>
      <c r="F67" s="3" t="s">
        <v>1096</v>
      </c>
      <c r="G67" s="8" t="s">
        <v>1097</v>
      </c>
      <c r="H67" s="6">
        <f t="shared" si="1"/>
        <v>51</v>
      </c>
      <c r="I67" s="6" t="str">
        <f t="shared" si="2"/>
        <v>CLIENT INPUT</v>
      </c>
      <c r="J67" s="6" t="s">
        <v>591</v>
      </c>
      <c r="K67" s="8" t="s">
        <v>896</v>
      </c>
    </row>
    <row r="68" ht="40.5" customHeight="1">
      <c r="A68" s="8" t="s">
        <v>734</v>
      </c>
      <c r="B68" s="8" t="s">
        <v>137</v>
      </c>
      <c r="C68" s="6">
        <v>10.0</v>
      </c>
      <c r="D68" s="3" t="s">
        <v>657</v>
      </c>
      <c r="E68" s="8" t="s">
        <v>874</v>
      </c>
      <c r="F68" s="3" t="s">
        <v>1099</v>
      </c>
      <c r="G68" s="8" t="s">
        <v>1101</v>
      </c>
      <c r="H68" s="6">
        <f t="shared" si="1"/>
        <v>38</v>
      </c>
      <c r="I68" s="6" t="str">
        <f t="shared" si="2"/>
        <v>CLIENT INPUT</v>
      </c>
      <c r="J68" s="6" t="s">
        <v>591</v>
      </c>
      <c r="K68" s="8" t="s">
        <v>899</v>
      </c>
    </row>
    <row r="69" ht="53.25" customHeight="1">
      <c r="A69" s="8" t="s">
        <v>734</v>
      </c>
      <c r="B69" s="8" t="s">
        <v>137</v>
      </c>
      <c r="C69" s="6">
        <v>11.0</v>
      </c>
      <c r="D69" s="3" t="s">
        <v>665</v>
      </c>
      <c r="E69" s="8"/>
      <c r="F69" s="46" t="str">
        <f>IF($F$7="","",$F$7)</f>
        <v>Request a written quote</v>
      </c>
      <c r="G69" s="46" t="str">
        <f>$G$7</f>
        <v>A quote-ready enquiry lists: flange type · nominal size (NPS or DN) · pressure class or PN · facing (RF, FF or RTJ) · material specification and grade · bore or schedule for weld neck flanges · quantity · delivery location · testing and certificate needs (NACE, impact test, EN 10204 3.1/3.2, third-party inspection). Upload a BOQ or drawing and we will read it for you.</v>
      </c>
      <c r="H69" s="6">
        <f t="shared" si="1"/>
        <v>70</v>
      </c>
      <c r="I69" s="6" t="str">
        <f t="shared" si="2"/>
        <v>Ready</v>
      </c>
      <c r="J69" s="6" t="s">
        <v>600</v>
      </c>
      <c r="K69" s="8"/>
    </row>
    <row r="70" ht="15.0" customHeight="1">
      <c r="A70" s="8" t="s">
        <v>734</v>
      </c>
      <c r="B70" s="8" t="s">
        <v>137</v>
      </c>
      <c r="C70" s="6">
        <v>12.0</v>
      </c>
      <c r="D70" s="3" t="s">
        <v>344</v>
      </c>
      <c r="E70" s="8" t="s">
        <v>908</v>
      </c>
      <c r="F70" s="3" t="s">
        <v>1108</v>
      </c>
      <c r="G70" s="8"/>
      <c r="H70" s="6">
        <f t="shared" si="1"/>
        <v>5</v>
      </c>
      <c r="I70" s="6" t="str">
        <f t="shared" si="2"/>
        <v>Ready</v>
      </c>
      <c r="J70" s="6" t="s">
        <v>591</v>
      </c>
      <c r="K70" s="8" t="s">
        <v>914</v>
      </c>
    </row>
    <row r="71" ht="103.5" customHeight="1">
      <c r="A71" s="8" t="s">
        <v>734</v>
      </c>
      <c r="B71" s="8" t="s">
        <v>137</v>
      </c>
      <c r="C71" s="6">
        <v>13.0</v>
      </c>
      <c r="D71" s="3" t="s">
        <v>684</v>
      </c>
      <c r="E71" s="8" t="s">
        <v>915</v>
      </c>
      <c r="F71" s="3" t="s">
        <v>684</v>
      </c>
      <c r="G71" s="8" t="s">
        <v>1111</v>
      </c>
      <c r="H71" s="6">
        <f t="shared" si="1"/>
        <v>22</v>
      </c>
      <c r="I71" s="6" t="str">
        <f t="shared" si="2"/>
        <v>Ready</v>
      </c>
      <c r="J71" s="6" t="s">
        <v>581</v>
      </c>
      <c r="K71" s="8" t="s">
        <v>1112</v>
      </c>
    </row>
    <row r="72" ht="40.5" customHeight="1">
      <c r="A72" s="8" t="s">
        <v>734</v>
      </c>
      <c r="B72" s="8" t="s">
        <v>137</v>
      </c>
      <c r="C72" s="6">
        <v>14.0</v>
      </c>
      <c r="D72" s="3" t="s">
        <v>836</v>
      </c>
      <c r="E72" s="8"/>
      <c r="F72" s="46" t="str">
        <f>IF($F$8="","",$F$8)</f>
        <v/>
      </c>
      <c r="G72" s="46" t="str">
        <f>$G$8</f>
        <v>Send your requirement - we reply in writing. Fill the form or upload your BOQ; you get a line-by-line quote by email [CLIENT: reply time, e.g. within one working day]. No phone calls needed - everything is in writing.</v>
      </c>
      <c r="H72" s="6">
        <f t="shared" si="1"/>
        <v>39</v>
      </c>
      <c r="I72" s="6" t="str">
        <f t="shared" si="2"/>
        <v>CLIENT INPUT</v>
      </c>
      <c r="J72" s="6" t="s">
        <v>600</v>
      </c>
      <c r="K72" s="8"/>
    </row>
    <row r="73" ht="15.0" customHeight="1">
      <c r="A73" s="8" t="s">
        <v>776</v>
      </c>
      <c r="B73" s="8" t="s">
        <v>165</v>
      </c>
      <c r="C73" s="6">
        <v>1.0</v>
      </c>
      <c r="D73" s="3" t="s">
        <v>469</v>
      </c>
      <c r="E73" s="8" t="s">
        <v>469</v>
      </c>
      <c r="F73" s="3"/>
      <c r="G73" s="8" t="s">
        <v>798</v>
      </c>
      <c r="H73" s="6">
        <f t="shared" si="1"/>
        <v>10</v>
      </c>
      <c r="I73" s="6" t="str">
        <f t="shared" si="2"/>
        <v>Ready</v>
      </c>
      <c r="J73" s="6" t="s">
        <v>581</v>
      </c>
      <c r="K73" s="8" t="s">
        <v>850</v>
      </c>
    </row>
    <row r="74" ht="15.0" customHeight="1">
      <c r="A74" s="8" t="s">
        <v>776</v>
      </c>
      <c r="B74" s="8" t="s">
        <v>165</v>
      </c>
      <c r="C74" s="6">
        <v>2.0</v>
      </c>
      <c r="D74" s="3" t="s">
        <v>584</v>
      </c>
      <c r="E74" s="8" t="s">
        <v>452</v>
      </c>
      <c r="F74" s="3"/>
      <c r="G74" s="8" t="s">
        <v>782</v>
      </c>
      <c r="H74" s="6">
        <f t="shared" si="1"/>
        <v>4</v>
      </c>
      <c r="I74" s="6" t="str">
        <f t="shared" si="2"/>
        <v>Ready</v>
      </c>
      <c r="J74" s="6" t="s">
        <v>591</v>
      </c>
      <c r="K74" s="8" t="s">
        <v>853</v>
      </c>
    </row>
    <row r="75" ht="27.75" customHeight="1">
      <c r="A75" s="8" t="s">
        <v>776</v>
      </c>
      <c r="B75" s="8" t="s">
        <v>165</v>
      </c>
      <c r="C75" s="6">
        <v>2.0</v>
      </c>
      <c r="D75" s="3" t="s">
        <v>584</v>
      </c>
      <c r="E75" s="8" t="s">
        <v>854</v>
      </c>
      <c r="F75" s="3"/>
      <c r="G75" s="8" t="s">
        <v>783</v>
      </c>
      <c r="H75" s="6">
        <f t="shared" si="1"/>
        <v>13</v>
      </c>
      <c r="I75" s="6" t="str">
        <f t="shared" si="2"/>
        <v>Ready</v>
      </c>
      <c r="J75" s="6" t="s">
        <v>591</v>
      </c>
      <c r="K75" s="8"/>
    </row>
    <row r="76" ht="53.25" customHeight="1">
      <c r="A76" s="8" t="s">
        <v>776</v>
      </c>
      <c r="B76" s="8" t="s">
        <v>165</v>
      </c>
      <c r="C76" s="6">
        <v>2.0</v>
      </c>
      <c r="D76" s="3" t="s">
        <v>584</v>
      </c>
      <c r="E76" s="8" t="s">
        <v>855</v>
      </c>
      <c r="F76" s="3"/>
      <c r="G76" s="8" t="s">
        <v>1265</v>
      </c>
      <c r="H76" s="6">
        <f t="shared" si="1"/>
        <v>52</v>
      </c>
      <c r="I76" s="6" t="str">
        <f t="shared" si="2"/>
        <v>CLIENT INPUT</v>
      </c>
      <c r="J76" s="6" t="s">
        <v>591</v>
      </c>
      <c r="K76" s="8" t="s">
        <v>857</v>
      </c>
    </row>
    <row r="77" ht="40.5" customHeight="1">
      <c r="A77" s="8" t="s">
        <v>776</v>
      </c>
      <c r="B77" s="8" t="s">
        <v>165</v>
      </c>
      <c r="C77" s="6">
        <v>3.0</v>
      </c>
      <c r="D77" s="3" t="s">
        <v>312</v>
      </c>
      <c r="E77" s="8"/>
      <c r="F77" s="46" t="str">
        <f>IF($F$5="","",$F$5)</f>
        <v/>
      </c>
      <c r="G77" s="46" t="str">
        <f>$G$5</f>
        <v>GSTIN 27FFLPP0007K1ZA (verify on the GST portal) · GST-registered since 2020 · Proprietorship led by Vikas Purohit, CEO · Manufacturing unit in Mumbai, Maharashtra [CLIENT: locality] · [CLIENT: real certifications only, e.g. ISO 9001:2015 — delete if none] · Written quotes by email, no calls needed</v>
      </c>
      <c r="H77" s="6">
        <f t="shared" si="1"/>
        <v>46</v>
      </c>
      <c r="I77" s="6" t="str">
        <f t="shared" si="2"/>
        <v>CLIENT INPUT</v>
      </c>
      <c r="J77" s="6" t="s">
        <v>600</v>
      </c>
      <c r="K77" s="8"/>
    </row>
    <row r="78" ht="40.5" customHeight="1">
      <c r="A78" s="8" t="s">
        <v>776</v>
      </c>
      <c r="B78" s="8" t="s">
        <v>165</v>
      </c>
      <c r="C78" s="6">
        <v>4.0</v>
      </c>
      <c r="D78" s="3" t="s">
        <v>611</v>
      </c>
      <c r="E78" s="8" t="s">
        <v>867</v>
      </c>
      <c r="F78" s="3" t="s">
        <v>1290</v>
      </c>
      <c r="G78" s="8" t="s">
        <v>1292</v>
      </c>
      <c r="H78" s="6">
        <f t="shared" si="1"/>
        <v>30</v>
      </c>
      <c r="I78" s="6" t="str">
        <f t="shared" si="2"/>
        <v>Ready</v>
      </c>
      <c r="J78" s="6" t="s">
        <v>591</v>
      </c>
      <c r="K78" s="8" t="s">
        <v>873</v>
      </c>
    </row>
    <row r="79" ht="103.5" customHeight="1">
      <c r="A79" s="8" t="s">
        <v>776</v>
      </c>
      <c r="B79" s="8" t="s">
        <v>165</v>
      </c>
      <c r="C79" s="6">
        <v>5.0</v>
      </c>
      <c r="D79" s="3" t="s">
        <v>619</v>
      </c>
      <c r="E79" s="8" t="s">
        <v>874</v>
      </c>
      <c r="F79" s="3" t="s">
        <v>1300</v>
      </c>
      <c r="G79" s="8" t="s">
        <v>1302</v>
      </c>
      <c r="H79" s="6">
        <f t="shared" si="1"/>
        <v>130</v>
      </c>
      <c r="I79" s="6" t="str">
        <f t="shared" si="2"/>
        <v>CLIENT INPUT</v>
      </c>
      <c r="J79" s="6" t="s">
        <v>591</v>
      </c>
      <c r="K79" s="8" t="s">
        <v>877</v>
      </c>
    </row>
    <row r="80" ht="27.75" customHeight="1">
      <c r="A80" s="8" t="s">
        <v>776</v>
      </c>
      <c r="B80" s="8" t="s">
        <v>165</v>
      </c>
      <c r="C80" s="6">
        <v>6.0</v>
      </c>
      <c r="D80" s="3" t="s">
        <v>627</v>
      </c>
      <c r="E80" s="8" t="s">
        <v>867</v>
      </c>
      <c r="F80" s="3" t="s">
        <v>1311</v>
      </c>
      <c r="G80" s="8" t="s">
        <v>1313</v>
      </c>
      <c r="H80" s="6">
        <f t="shared" si="1"/>
        <v>27</v>
      </c>
      <c r="I80" s="6" t="str">
        <f t="shared" si="2"/>
        <v>CLIENT INPUT</v>
      </c>
      <c r="J80" s="6" t="s">
        <v>632</v>
      </c>
      <c r="K80" s="8" t="s">
        <v>1318</v>
      </c>
    </row>
    <row r="81" ht="78.0" customHeight="1">
      <c r="A81" s="8" t="s">
        <v>776</v>
      </c>
      <c r="B81" s="8" t="s">
        <v>165</v>
      </c>
      <c r="C81" s="6">
        <v>7.0</v>
      </c>
      <c r="D81" s="3" t="s">
        <v>636</v>
      </c>
      <c r="E81" s="8"/>
      <c r="F81" s="46" t="str">
        <f>IF($F$6="","",$F$6)</f>
        <v>How every flange is made and checked</v>
      </c>
      <c r="G81" s="46" t="str">
        <f>$G$6</f>
        <v>Every flange starts as a certified billet or bar whose heat number follows it through cutting, forging, heat treatment where the material specification requires it, CNC machining and drilling, and final marking of grade, class, size and heat number. Before dispatch we check dimensions against the governing standard and [CLIENT: list only tests actually done in-house, e.g. PMI, hardness, ultrasonic], and issue material test certificates that tie each flange back to its heat. Buyer-nominated third-party inspection can witness any stage [CONFIRM].</v>
      </c>
      <c r="H81" s="6">
        <f t="shared" si="1"/>
        <v>88</v>
      </c>
      <c r="I81" s="6" t="str">
        <f t="shared" si="2"/>
        <v>CLIENT INPUT</v>
      </c>
      <c r="J81" s="6" t="s">
        <v>600</v>
      </c>
      <c r="K81" s="8"/>
    </row>
    <row r="82" ht="78.0" customHeight="1">
      <c r="A82" s="8" t="s">
        <v>776</v>
      </c>
      <c r="B82" s="8" t="s">
        <v>165</v>
      </c>
      <c r="C82" s="6">
        <v>8.0</v>
      </c>
      <c r="D82" s="3" t="s">
        <v>642</v>
      </c>
      <c r="E82" s="8" t="s">
        <v>874</v>
      </c>
      <c r="F82" s="3" t="s">
        <v>1327</v>
      </c>
      <c r="G82" s="8" t="s">
        <v>1328</v>
      </c>
      <c r="H82" s="6">
        <f t="shared" si="1"/>
        <v>81</v>
      </c>
      <c r="I82" s="6" t="str">
        <f t="shared" si="2"/>
        <v>CLIENT INPUT</v>
      </c>
      <c r="J82" s="6" t="s">
        <v>591</v>
      </c>
      <c r="K82" s="8"/>
    </row>
    <row r="83" ht="40.5" customHeight="1">
      <c r="A83" s="8" t="s">
        <v>776</v>
      </c>
      <c r="B83" s="8" t="s">
        <v>165</v>
      </c>
      <c r="C83" s="6">
        <v>9.0</v>
      </c>
      <c r="D83" s="3" t="s">
        <v>650</v>
      </c>
      <c r="E83" s="8" t="s">
        <v>874</v>
      </c>
      <c r="F83" s="3" t="s">
        <v>1332</v>
      </c>
      <c r="G83" s="8" t="s">
        <v>1333</v>
      </c>
      <c r="H83" s="6">
        <f t="shared" si="1"/>
        <v>39</v>
      </c>
      <c r="I83" s="6" t="str">
        <f t="shared" si="2"/>
        <v>CLIENT INPUT</v>
      </c>
      <c r="J83" s="6" t="s">
        <v>591</v>
      </c>
      <c r="K83" s="8" t="s">
        <v>896</v>
      </c>
    </row>
    <row r="84" ht="40.5" customHeight="1">
      <c r="A84" s="8" t="s">
        <v>776</v>
      </c>
      <c r="B84" s="8" t="s">
        <v>165</v>
      </c>
      <c r="C84" s="6">
        <v>10.0</v>
      </c>
      <c r="D84" s="3" t="s">
        <v>657</v>
      </c>
      <c r="E84" s="8" t="s">
        <v>874</v>
      </c>
      <c r="F84" s="3" t="s">
        <v>1337</v>
      </c>
      <c r="G84" s="8" t="s">
        <v>1339</v>
      </c>
      <c r="H84" s="6">
        <f t="shared" si="1"/>
        <v>38</v>
      </c>
      <c r="I84" s="6" t="str">
        <f t="shared" si="2"/>
        <v>CLIENT INPUT</v>
      </c>
      <c r="J84" s="6" t="s">
        <v>591</v>
      </c>
      <c r="K84" s="8" t="s">
        <v>899</v>
      </c>
    </row>
    <row r="85" ht="53.25" customHeight="1">
      <c r="A85" s="8" t="s">
        <v>776</v>
      </c>
      <c r="B85" s="8" t="s">
        <v>165</v>
      </c>
      <c r="C85" s="6">
        <v>11.0</v>
      </c>
      <c r="D85" s="3" t="s">
        <v>665</v>
      </c>
      <c r="E85" s="8"/>
      <c r="F85" s="46" t="str">
        <f>IF($F$7="","",$F$7)</f>
        <v>Request a written quote</v>
      </c>
      <c r="G85" s="46" t="str">
        <f>$G$7</f>
        <v>A quote-ready enquiry lists: flange type · nominal size (NPS or DN) · pressure class or PN · facing (RF, FF or RTJ) · material specification and grade · bore or schedule for weld neck flanges · quantity · delivery location · testing and certificate needs (NACE, impact test, EN 10204 3.1/3.2, third-party inspection). Upload a BOQ or drawing and we will read it for you.</v>
      </c>
      <c r="H85" s="6">
        <f t="shared" si="1"/>
        <v>70</v>
      </c>
      <c r="I85" s="6" t="str">
        <f t="shared" si="2"/>
        <v>Ready</v>
      </c>
      <c r="J85" s="6" t="s">
        <v>600</v>
      </c>
      <c r="K85" s="8"/>
    </row>
    <row r="86" ht="15.0" customHeight="1">
      <c r="A86" s="8" t="s">
        <v>776</v>
      </c>
      <c r="B86" s="8" t="s">
        <v>165</v>
      </c>
      <c r="C86" s="6">
        <v>12.0</v>
      </c>
      <c r="D86" s="3" t="s">
        <v>344</v>
      </c>
      <c r="E86" s="8" t="s">
        <v>908</v>
      </c>
      <c r="F86" s="3" t="s">
        <v>1357</v>
      </c>
      <c r="G86" s="8"/>
      <c r="H86" s="6">
        <f t="shared" si="1"/>
        <v>5</v>
      </c>
      <c r="I86" s="6" t="str">
        <f t="shared" si="2"/>
        <v>Ready</v>
      </c>
      <c r="J86" s="6" t="s">
        <v>591</v>
      </c>
      <c r="K86" s="8" t="s">
        <v>914</v>
      </c>
    </row>
    <row r="87" ht="66.0" customHeight="1">
      <c r="A87" s="8" t="s">
        <v>776</v>
      </c>
      <c r="B87" s="8" t="s">
        <v>165</v>
      </c>
      <c r="C87" s="6">
        <v>13.0</v>
      </c>
      <c r="D87" s="3" t="s">
        <v>684</v>
      </c>
      <c r="E87" s="8" t="s">
        <v>915</v>
      </c>
      <c r="F87" s="3" t="s">
        <v>684</v>
      </c>
      <c r="G87" s="8" t="s">
        <v>1361</v>
      </c>
      <c r="H87" s="6">
        <f t="shared" si="1"/>
        <v>18</v>
      </c>
      <c r="I87" s="6" t="str">
        <f t="shared" si="2"/>
        <v>Ready</v>
      </c>
      <c r="J87" s="6" t="s">
        <v>581</v>
      </c>
      <c r="K87" s="8" t="s">
        <v>1366</v>
      </c>
    </row>
    <row r="88" ht="40.5" customHeight="1">
      <c r="A88" s="8" t="s">
        <v>776</v>
      </c>
      <c r="B88" s="8" t="s">
        <v>165</v>
      </c>
      <c r="C88" s="6">
        <v>14.0</v>
      </c>
      <c r="D88" s="3" t="s">
        <v>836</v>
      </c>
      <c r="E88" s="8"/>
      <c r="F88" s="46" t="str">
        <f>IF($F$8="","",$F$8)</f>
        <v/>
      </c>
      <c r="G88" s="46" t="str">
        <f>$G$8</f>
        <v>Send your requirement - we reply in writing. Fill the form or upload your BOQ; you get a line-by-line quote by email [CLIENT: reply time, e.g. within one working day]. No phone calls needed - everything is in writing.</v>
      </c>
      <c r="H88" s="6">
        <f t="shared" si="1"/>
        <v>39</v>
      </c>
      <c r="I88" s="6" t="str">
        <f t="shared" si="2"/>
        <v>CLIENT INPUT</v>
      </c>
      <c r="J88" s="6" t="s">
        <v>600</v>
      </c>
      <c r="K88" s="8"/>
    </row>
    <row r="89" ht="15.0" customHeight="1">
      <c r="A89" s="8" t="s">
        <v>802</v>
      </c>
      <c r="B89" s="8" t="s">
        <v>180</v>
      </c>
      <c r="C89" s="6">
        <v>1.0</v>
      </c>
      <c r="D89" s="3" t="s">
        <v>469</v>
      </c>
      <c r="E89" s="8" t="s">
        <v>469</v>
      </c>
      <c r="F89" s="3"/>
      <c r="G89" s="8" t="s">
        <v>821</v>
      </c>
      <c r="H89" s="6">
        <f t="shared" si="1"/>
        <v>12</v>
      </c>
      <c r="I89" s="6" t="str">
        <f t="shared" si="2"/>
        <v>Ready</v>
      </c>
      <c r="J89" s="6" t="s">
        <v>581</v>
      </c>
      <c r="K89" s="8" t="s">
        <v>850</v>
      </c>
    </row>
    <row r="90" ht="15.0" customHeight="1">
      <c r="A90" s="8" t="s">
        <v>802</v>
      </c>
      <c r="B90" s="8" t="s">
        <v>180</v>
      </c>
      <c r="C90" s="6">
        <v>2.0</v>
      </c>
      <c r="D90" s="3" t="s">
        <v>584</v>
      </c>
      <c r="E90" s="8" t="s">
        <v>452</v>
      </c>
      <c r="F90" s="3"/>
      <c r="G90" s="8" t="s">
        <v>811</v>
      </c>
      <c r="H90" s="6">
        <f t="shared" si="1"/>
        <v>8</v>
      </c>
      <c r="I90" s="6" t="str">
        <f t="shared" si="2"/>
        <v>Ready</v>
      </c>
      <c r="J90" s="6" t="s">
        <v>591</v>
      </c>
      <c r="K90" s="8" t="s">
        <v>853</v>
      </c>
    </row>
    <row r="91" ht="27.75" customHeight="1">
      <c r="A91" s="8" t="s">
        <v>802</v>
      </c>
      <c r="B91" s="8" t="s">
        <v>180</v>
      </c>
      <c r="C91" s="6">
        <v>2.0</v>
      </c>
      <c r="D91" s="3" t="s">
        <v>584</v>
      </c>
      <c r="E91" s="8" t="s">
        <v>854</v>
      </c>
      <c r="F91" s="3"/>
      <c r="G91" s="8" t="s">
        <v>812</v>
      </c>
      <c r="H91" s="6">
        <f t="shared" si="1"/>
        <v>15</v>
      </c>
      <c r="I91" s="6" t="str">
        <f t="shared" si="2"/>
        <v>Ready</v>
      </c>
      <c r="J91" s="6" t="s">
        <v>591</v>
      </c>
      <c r="K91" s="8"/>
    </row>
    <row r="92" ht="53.25" customHeight="1">
      <c r="A92" s="8" t="s">
        <v>802</v>
      </c>
      <c r="B92" s="8" t="s">
        <v>180</v>
      </c>
      <c r="C92" s="6">
        <v>2.0</v>
      </c>
      <c r="D92" s="3" t="s">
        <v>584</v>
      </c>
      <c r="E92" s="8" t="s">
        <v>855</v>
      </c>
      <c r="F92" s="3"/>
      <c r="G92" s="8" t="s">
        <v>1368</v>
      </c>
      <c r="H92" s="6">
        <f t="shared" si="1"/>
        <v>53</v>
      </c>
      <c r="I92" s="6" t="str">
        <f t="shared" si="2"/>
        <v>CLIENT INPUT</v>
      </c>
      <c r="J92" s="6" t="s">
        <v>591</v>
      </c>
      <c r="K92" s="8" t="s">
        <v>857</v>
      </c>
    </row>
    <row r="93" ht="40.5" customHeight="1">
      <c r="A93" s="8" t="s">
        <v>802</v>
      </c>
      <c r="B93" s="8" t="s">
        <v>180</v>
      </c>
      <c r="C93" s="6">
        <v>3.0</v>
      </c>
      <c r="D93" s="3" t="s">
        <v>312</v>
      </c>
      <c r="E93" s="8"/>
      <c r="F93" s="46" t="str">
        <f>IF($F$5="","",$F$5)</f>
        <v/>
      </c>
      <c r="G93" s="46" t="str">
        <f>$G$5</f>
        <v>GSTIN 27FFLPP0007K1ZA (verify on the GST portal) · GST-registered since 2020 · Proprietorship led by Vikas Purohit, CEO · Manufacturing unit in Mumbai, Maharashtra [CLIENT: locality] · [CLIENT: real certifications only, e.g. ISO 9001:2015 — delete if none] · Written quotes by email, no calls needed</v>
      </c>
      <c r="H93" s="6">
        <f t="shared" si="1"/>
        <v>46</v>
      </c>
      <c r="I93" s="6" t="str">
        <f t="shared" si="2"/>
        <v>CLIENT INPUT</v>
      </c>
      <c r="J93" s="6" t="s">
        <v>600</v>
      </c>
      <c r="K93" s="8"/>
    </row>
    <row r="94" ht="40.5" customHeight="1">
      <c r="A94" s="8" t="s">
        <v>802</v>
      </c>
      <c r="B94" s="8" t="s">
        <v>180</v>
      </c>
      <c r="C94" s="6">
        <v>4.0</v>
      </c>
      <c r="D94" s="3" t="s">
        <v>611</v>
      </c>
      <c r="E94" s="8" t="s">
        <v>867</v>
      </c>
      <c r="F94" s="3" t="s">
        <v>1370</v>
      </c>
      <c r="G94" s="8" t="s">
        <v>1371</v>
      </c>
      <c r="H94" s="6">
        <f t="shared" si="1"/>
        <v>35</v>
      </c>
      <c r="I94" s="6" t="str">
        <f t="shared" si="2"/>
        <v>Ready</v>
      </c>
      <c r="J94" s="6" t="s">
        <v>591</v>
      </c>
      <c r="K94" s="8" t="s">
        <v>873</v>
      </c>
    </row>
    <row r="95" ht="129.0" customHeight="1">
      <c r="A95" s="8" t="s">
        <v>802</v>
      </c>
      <c r="B95" s="8" t="s">
        <v>180</v>
      </c>
      <c r="C95" s="6">
        <v>5.0</v>
      </c>
      <c r="D95" s="3" t="s">
        <v>619</v>
      </c>
      <c r="E95" s="8" t="s">
        <v>874</v>
      </c>
      <c r="F95" s="3" t="s">
        <v>1373</v>
      </c>
      <c r="G95" s="8" t="s">
        <v>1374</v>
      </c>
      <c r="H95" s="6">
        <f t="shared" si="1"/>
        <v>116</v>
      </c>
      <c r="I95" s="6" t="str">
        <f t="shared" si="2"/>
        <v>CONFIRM</v>
      </c>
      <c r="J95" s="6" t="s">
        <v>591</v>
      </c>
      <c r="K95" s="8" t="s">
        <v>877</v>
      </c>
    </row>
    <row r="96" ht="27.75" customHeight="1">
      <c r="A96" s="8" t="s">
        <v>802</v>
      </c>
      <c r="B96" s="8" t="s">
        <v>180</v>
      </c>
      <c r="C96" s="6">
        <v>6.0</v>
      </c>
      <c r="D96" s="3" t="s">
        <v>627</v>
      </c>
      <c r="E96" s="8" t="s">
        <v>867</v>
      </c>
      <c r="F96" s="3" t="s">
        <v>1376</v>
      </c>
      <c r="G96" s="8" t="s">
        <v>1377</v>
      </c>
      <c r="H96" s="6">
        <f t="shared" si="1"/>
        <v>33</v>
      </c>
      <c r="I96" s="6" t="str">
        <f t="shared" si="2"/>
        <v>CLIENT INPUT</v>
      </c>
      <c r="J96" s="6" t="s">
        <v>632</v>
      </c>
      <c r="K96" s="8" t="s">
        <v>1379</v>
      </c>
    </row>
    <row r="97" ht="78.0" customHeight="1">
      <c r="A97" s="8" t="s">
        <v>802</v>
      </c>
      <c r="B97" s="8" t="s">
        <v>180</v>
      </c>
      <c r="C97" s="6">
        <v>7.0</v>
      </c>
      <c r="D97" s="3" t="s">
        <v>636</v>
      </c>
      <c r="E97" s="8"/>
      <c r="F97" s="46" t="str">
        <f>IF($F$6="","",$F$6)</f>
        <v>How every flange is made and checked</v>
      </c>
      <c r="G97" s="46" t="str">
        <f>$G$6</f>
        <v>Every flange starts as a certified billet or bar whose heat number follows it through cutting, forging, heat treatment where the material specification requires it, CNC machining and drilling, and final marking of grade, class, size and heat number. Before dispatch we check dimensions against the governing standard and [CLIENT: list only tests actually done in-house, e.g. PMI, hardness, ultrasonic], and issue material test certificates that tie each flange back to its heat. Buyer-nominated third-party inspection can witness any stage [CONFIRM].</v>
      </c>
      <c r="H97" s="6">
        <f t="shared" si="1"/>
        <v>88</v>
      </c>
      <c r="I97" s="6" t="str">
        <f t="shared" si="2"/>
        <v>CLIENT INPUT</v>
      </c>
      <c r="J97" s="6" t="s">
        <v>600</v>
      </c>
      <c r="K97" s="8"/>
    </row>
    <row r="98" ht="66.0" customHeight="1">
      <c r="A98" s="8" t="s">
        <v>802</v>
      </c>
      <c r="B98" s="8" t="s">
        <v>180</v>
      </c>
      <c r="C98" s="6">
        <v>8.0</v>
      </c>
      <c r="D98" s="3" t="s">
        <v>642</v>
      </c>
      <c r="E98" s="8" t="s">
        <v>874</v>
      </c>
      <c r="F98" s="3" t="s">
        <v>1382</v>
      </c>
      <c r="G98" s="8" t="s">
        <v>1384</v>
      </c>
      <c r="H98" s="6">
        <f t="shared" si="1"/>
        <v>67</v>
      </c>
      <c r="I98" s="6" t="str">
        <f t="shared" si="2"/>
        <v>CLIENT INPUT</v>
      </c>
      <c r="J98" s="6" t="s">
        <v>591</v>
      </c>
      <c r="K98" s="8"/>
    </row>
    <row r="99" ht="27.75" customHeight="1">
      <c r="A99" s="8" t="s">
        <v>802</v>
      </c>
      <c r="B99" s="8" t="s">
        <v>180</v>
      </c>
      <c r="C99" s="6">
        <v>9.0</v>
      </c>
      <c r="D99" s="3" t="s">
        <v>650</v>
      </c>
      <c r="E99" s="8" t="s">
        <v>874</v>
      </c>
      <c r="F99" s="3" t="s">
        <v>1388</v>
      </c>
      <c r="G99" s="8" t="s">
        <v>1390</v>
      </c>
      <c r="H99" s="6">
        <f t="shared" si="1"/>
        <v>39</v>
      </c>
      <c r="I99" s="6" t="str">
        <f t="shared" si="2"/>
        <v>CLIENT INPUT</v>
      </c>
      <c r="J99" s="6" t="s">
        <v>591</v>
      </c>
      <c r="K99" s="8" t="s">
        <v>896</v>
      </c>
    </row>
    <row r="100" ht="27.75" customHeight="1">
      <c r="A100" s="8" t="s">
        <v>802</v>
      </c>
      <c r="B100" s="8" t="s">
        <v>180</v>
      </c>
      <c r="C100" s="6">
        <v>10.0</v>
      </c>
      <c r="D100" s="3" t="s">
        <v>657</v>
      </c>
      <c r="E100" s="8" t="s">
        <v>874</v>
      </c>
      <c r="F100" s="3" t="s">
        <v>1391</v>
      </c>
      <c r="G100" s="8" t="s">
        <v>1392</v>
      </c>
      <c r="H100" s="6">
        <f t="shared" si="1"/>
        <v>32</v>
      </c>
      <c r="I100" s="6" t="str">
        <f t="shared" si="2"/>
        <v>Ready</v>
      </c>
      <c r="J100" s="6" t="s">
        <v>591</v>
      </c>
      <c r="K100" s="8" t="s">
        <v>899</v>
      </c>
    </row>
    <row r="101" ht="53.25" customHeight="1">
      <c r="A101" s="8" t="s">
        <v>802</v>
      </c>
      <c r="B101" s="8" t="s">
        <v>180</v>
      </c>
      <c r="C101" s="6">
        <v>11.0</v>
      </c>
      <c r="D101" s="3" t="s">
        <v>665</v>
      </c>
      <c r="E101" s="8"/>
      <c r="F101" s="46" t="str">
        <f>IF($F$7="","",$F$7)</f>
        <v>Request a written quote</v>
      </c>
      <c r="G101" s="46" t="str">
        <f>$G$7</f>
        <v>A quote-ready enquiry lists: flange type · nominal size (NPS or DN) · pressure class or PN · facing (RF, FF or RTJ) · material specification and grade · bore or schedule for weld neck flanges · quantity · delivery location · testing and certificate needs (NACE, impact test, EN 10204 3.1/3.2, third-party inspection). Upload a BOQ or drawing and we will read it for you.</v>
      </c>
      <c r="H101" s="6">
        <f t="shared" si="1"/>
        <v>70</v>
      </c>
      <c r="I101" s="6" t="str">
        <f t="shared" si="2"/>
        <v>Ready</v>
      </c>
      <c r="J101" s="6" t="s">
        <v>600</v>
      </c>
      <c r="K101" s="8"/>
    </row>
    <row r="102" ht="27.75" customHeight="1">
      <c r="A102" s="8" t="s">
        <v>802</v>
      </c>
      <c r="B102" s="8" t="s">
        <v>180</v>
      </c>
      <c r="C102" s="6">
        <v>12.0</v>
      </c>
      <c r="D102" s="3" t="s">
        <v>344</v>
      </c>
      <c r="E102" s="8" t="s">
        <v>908</v>
      </c>
      <c r="F102" s="3" t="s">
        <v>1393</v>
      </c>
      <c r="G102" s="8"/>
      <c r="H102" s="6">
        <f t="shared" si="1"/>
        <v>7</v>
      </c>
      <c r="I102" s="6" t="str">
        <f t="shared" si="2"/>
        <v>Ready</v>
      </c>
      <c r="J102" s="6" t="s">
        <v>591</v>
      </c>
      <c r="K102" s="8" t="s">
        <v>914</v>
      </c>
    </row>
    <row r="103" ht="40.5" customHeight="1">
      <c r="A103" s="8" t="s">
        <v>802</v>
      </c>
      <c r="B103" s="8" t="s">
        <v>180</v>
      </c>
      <c r="C103" s="6">
        <v>13.0</v>
      </c>
      <c r="D103" s="3" t="s">
        <v>684</v>
      </c>
      <c r="E103" s="8" t="s">
        <v>915</v>
      </c>
      <c r="F103" s="3" t="s">
        <v>684</v>
      </c>
      <c r="G103" s="8" t="s">
        <v>1394</v>
      </c>
      <c r="H103" s="6">
        <f t="shared" si="1"/>
        <v>11</v>
      </c>
      <c r="I103" s="6" t="str">
        <f t="shared" si="2"/>
        <v>Ready</v>
      </c>
      <c r="J103" s="6" t="s">
        <v>581</v>
      </c>
      <c r="K103" s="8" t="s">
        <v>1395</v>
      </c>
    </row>
    <row r="104" ht="40.5" customHeight="1">
      <c r="A104" s="8" t="s">
        <v>802</v>
      </c>
      <c r="B104" s="8" t="s">
        <v>180</v>
      </c>
      <c r="C104" s="6">
        <v>14.0</v>
      </c>
      <c r="D104" s="3" t="s">
        <v>836</v>
      </c>
      <c r="E104" s="8"/>
      <c r="F104" s="46" t="str">
        <f>IF($F$8="","",$F$8)</f>
        <v/>
      </c>
      <c r="G104" s="46" t="str">
        <f>$G$8</f>
        <v>Send your requirement - we reply in writing. Fill the form or upload your BOQ; you get a line-by-line quote by email [CLIENT: reply time, e.g. within one working day]. No phone calls needed - everything is in writing.</v>
      </c>
      <c r="H104" s="6">
        <f t="shared" si="1"/>
        <v>39</v>
      </c>
      <c r="I104" s="6" t="str">
        <f t="shared" si="2"/>
        <v>CLIENT INPUT</v>
      </c>
      <c r="J104" s="6" t="s">
        <v>600</v>
      </c>
      <c r="K104" s="8"/>
    </row>
    <row r="105" ht="27.75" customHeight="1">
      <c r="A105" s="8" t="s">
        <v>822</v>
      </c>
      <c r="B105" s="8" t="s">
        <v>756</v>
      </c>
      <c r="C105" s="6">
        <v>1.0</v>
      </c>
      <c r="D105" s="3" t="s">
        <v>469</v>
      </c>
      <c r="E105" s="8" t="s">
        <v>469</v>
      </c>
      <c r="F105" s="3"/>
      <c r="G105" s="8" t="s">
        <v>844</v>
      </c>
      <c r="H105" s="6">
        <f t="shared" si="1"/>
        <v>8</v>
      </c>
      <c r="I105" s="6" t="str">
        <f t="shared" si="2"/>
        <v>Ready</v>
      </c>
      <c r="J105" s="6" t="s">
        <v>581</v>
      </c>
      <c r="K105" s="8" t="s">
        <v>850</v>
      </c>
    </row>
    <row r="106" ht="27.75" customHeight="1">
      <c r="A106" s="8" t="s">
        <v>822</v>
      </c>
      <c r="B106" s="8" t="s">
        <v>756</v>
      </c>
      <c r="C106" s="6">
        <v>2.0</v>
      </c>
      <c r="D106" s="3" t="s">
        <v>584</v>
      </c>
      <c r="E106" s="8" t="s">
        <v>452</v>
      </c>
      <c r="F106" s="3"/>
      <c r="G106" s="8" t="s">
        <v>827</v>
      </c>
      <c r="H106" s="6">
        <f t="shared" si="1"/>
        <v>7</v>
      </c>
      <c r="I106" s="6" t="str">
        <f t="shared" si="2"/>
        <v>Ready</v>
      </c>
      <c r="J106" s="6" t="s">
        <v>591</v>
      </c>
      <c r="K106" s="8" t="s">
        <v>853</v>
      </c>
    </row>
    <row r="107" ht="27.75" customHeight="1">
      <c r="A107" s="8" t="s">
        <v>822</v>
      </c>
      <c r="B107" s="8" t="s">
        <v>756</v>
      </c>
      <c r="C107" s="6">
        <v>2.0</v>
      </c>
      <c r="D107" s="3" t="s">
        <v>584</v>
      </c>
      <c r="E107" s="8" t="s">
        <v>854</v>
      </c>
      <c r="F107" s="3"/>
      <c r="G107" s="8" t="s">
        <v>828</v>
      </c>
      <c r="H107" s="6">
        <f t="shared" si="1"/>
        <v>14</v>
      </c>
      <c r="I107" s="6" t="str">
        <f t="shared" si="2"/>
        <v>Ready</v>
      </c>
      <c r="J107" s="6" t="s">
        <v>591</v>
      </c>
      <c r="K107" s="8"/>
    </row>
    <row r="108" ht="53.25" customHeight="1">
      <c r="A108" s="8" t="s">
        <v>822</v>
      </c>
      <c r="B108" s="8" t="s">
        <v>756</v>
      </c>
      <c r="C108" s="6">
        <v>2.0</v>
      </c>
      <c r="D108" s="3" t="s">
        <v>584</v>
      </c>
      <c r="E108" s="8" t="s">
        <v>1396</v>
      </c>
      <c r="F108" s="3"/>
      <c r="G108" s="8" t="s">
        <v>1397</v>
      </c>
      <c r="H108" s="6">
        <f t="shared" si="1"/>
        <v>57</v>
      </c>
      <c r="I108" s="6" t="str">
        <f t="shared" si="2"/>
        <v>Ready</v>
      </c>
      <c r="J108" s="6" t="s">
        <v>591</v>
      </c>
      <c r="K108" s="8" t="s">
        <v>857</v>
      </c>
    </row>
    <row r="109" ht="40.5" customHeight="1">
      <c r="A109" s="8" t="s">
        <v>822</v>
      </c>
      <c r="B109" s="8" t="s">
        <v>756</v>
      </c>
      <c r="C109" s="6">
        <v>3.0</v>
      </c>
      <c r="D109" s="3" t="s">
        <v>312</v>
      </c>
      <c r="E109" s="8"/>
      <c r="F109" s="46" t="str">
        <f>IF($F$5="","",$F$5)</f>
        <v/>
      </c>
      <c r="G109" s="46" t="str">
        <f>$G$5</f>
        <v>GSTIN 27FFLPP0007K1ZA (verify on the GST portal) · GST-registered since 2020 · Proprietorship led by Vikas Purohit, CEO · Manufacturing unit in Mumbai, Maharashtra [CLIENT: locality] · [CLIENT: real certifications only, e.g. ISO 9001:2015 — delete if none] · Written quotes by email, no calls needed</v>
      </c>
      <c r="H109" s="6">
        <f t="shared" si="1"/>
        <v>46</v>
      </c>
      <c r="I109" s="6" t="str">
        <f t="shared" si="2"/>
        <v>CLIENT INPUT</v>
      </c>
      <c r="J109" s="6" t="s">
        <v>600</v>
      </c>
      <c r="K109" s="8"/>
    </row>
    <row r="110" ht="66.0" customHeight="1">
      <c r="A110" s="8" t="s">
        <v>822</v>
      </c>
      <c r="B110" s="8" t="s">
        <v>756</v>
      </c>
      <c r="C110" s="6" t="s">
        <v>1401</v>
      </c>
      <c r="D110" s="3" t="s">
        <v>1402</v>
      </c>
      <c r="E110" s="8" t="s">
        <v>874</v>
      </c>
      <c r="F110" s="3" t="s">
        <v>1403</v>
      </c>
      <c r="G110" s="8" t="s">
        <v>1404</v>
      </c>
      <c r="H110" s="6">
        <f t="shared" si="1"/>
        <v>73</v>
      </c>
      <c r="I110" s="6" t="str">
        <f t="shared" si="2"/>
        <v>Ready</v>
      </c>
      <c r="J110" s="6" t="s">
        <v>591</v>
      </c>
      <c r="K110" s="8" t="s">
        <v>1410</v>
      </c>
    </row>
    <row r="111" ht="66.0" customHeight="1">
      <c r="A111" s="8" t="s">
        <v>822</v>
      </c>
      <c r="B111" s="8" t="s">
        <v>756</v>
      </c>
      <c r="C111" s="6" t="s">
        <v>1411</v>
      </c>
      <c r="D111" s="3" t="s">
        <v>1402</v>
      </c>
      <c r="E111" s="8" t="s">
        <v>874</v>
      </c>
      <c r="F111" s="3" t="s">
        <v>1413</v>
      </c>
      <c r="G111" s="8" t="s">
        <v>1422</v>
      </c>
      <c r="H111" s="6">
        <f t="shared" si="1"/>
        <v>69</v>
      </c>
      <c r="I111" s="6" t="str">
        <f t="shared" si="2"/>
        <v>Ready</v>
      </c>
      <c r="J111" s="6" t="s">
        <v>591</v>
      </c>
      <c r="K111" s="8" t="s">
        <v>1410</v>
      </c>
    </row>
    <row r="112" ht="53.25" customHeight="1">
      <c r="A112" s="8" t="s">
        <v>822</v>
      </c>
      <c r="B112" s="8" t="s">
        <v>756</v>
      </c>
      <c r="C112" s="6" t="s">
        <v>1427</v>
      </c>
      <c r="D112" s="3" t="s">
        <v>1402</v>
      </c>
      <c r="E112" s="8" t="s">
        <v>874</v>
      </c>
      <c r="F112" s="3" t="s">
        <v>1428</v>
      </c>
      <c r="G112" s="8" t="s">
        <v>1429</v>
      </c>
      <c r="H112" s="6">
        <f t="shared" si="1"/>
        <v>47</v>
      </c>
      <c r="I112" s="6" t="str">
        <f t="shared" si="2"/>
        <v>Ready</v>
      </c>
      <c r="J112" s="6" t="s">
        <v>591</v>
      </c>
      <c r="K112" s="8" t="s">
        <v>1410</v>
      </c>
    </row>
    <row r="113" ht="40.5" customHeight="1">
      <c r="A113" s="8" t="s">
        <v>822</v>
      </c>
      <c r="B113" s="8" t="s">
        <v>756</v>
      </c>
      <c r="C113" s="6" t="s">
        <v>1431</v>
      </c>
      <c r="D113" s="3" t="s">
        <v>1402</v>
      </c>
      <c r="E113" s="8" t="s">
        <v>874</v>
      </c>
      <c r="F113" s="3" t="s">
        <v>1432</v>
      </c>
      <c r="G113" s="8" t="s">
        <v>1433</v>
      </c>
      <c r="H113" s="6">
        <f t="shared" si="1"/>
        <v>37</v>
      </c>
      <c r="I113" s="6" t="str">
        <f t="shared" si="2"/>
        <v>Ready</v>
      </c>
      <c r="J113" s="6" t="s">
        <v>591</v>
      </c>
      <c r="K113" s="8" t="s">
        <v>1410</v>
      </c>
    </row>
    <row r="114" ht="27.75" customHeight="1">
      <c r="A114" s="8" t="s">
        <v>822</v>
      </c>
      <c r="B114" s="8" t="s">
        <v>756</v>
      </c>
      <c r="C114" s="6" t="s">
        <v>1434</v>
      </c>
      <c r="D114" s="3" t="s">
        <v>1402</v>
      </c>
      <c r="E114" s="8" t="s">
        <v>874</v>
      </c>
      <c r="F114" s="3" t="s">
        <v>1435</v>
      </c>
      <c r="G114" s="8" t="s">
        <v>1436</v>
      </c>
      <c r="H114" s="6">
        <f t="shared" si="1"/>
        <v>36</v>
      </c>
      <c r="I114" s="6" t="str">
        <f t="shared" si="2"/>
        <v>DEV NOTE</v>
      </c>
      <c r="J114" s="6" t="s">
        <v>591</v>
      </c>
      <c r="K114" s="8"/>
    </row>
    <row r="115" ht="66.0" customHeight="1">
      <c r="A115" s="8" t="s">
        <v>822</v>
      </c>
      <c r="B115" s="8" t="s">
        <v>756</v>
      </c>
      <c r="C115" s="6" t="s">
        <v>1437</v>
      </c>
      <c r="D115" s="3" t="s">
        <v>1402</v>
      </c>
      <c r="E115" s="8" t="s">
        <v>874</v>
      </c>
      <c r="F115" s="3" t="s">
        <v>1438</v>
      </c>
      <c r="G115" s="8" t="s">
        <v>1439</v>
      </c>
      <c r="H115" s="6">
        <f t="shared" si="1"/>
        <v>75</v>
      </c>
      <c r="I115" s="6" t="str">
        <f t="shared" si="2"/>
        <v>CLIENT INPUT</v>
      </c>
      <c r="J115" s="6" t="s">
        <v>591</v>
      </c>
      <c r="K115" s="8" t="s">
        <v>1410</v>
      </c>
    </row>
    <row r="116" ht="27.75" customHeight="1">
      <c r="A116" s="8" t="s">
        <v>822</v>
      </c>
      <c r="B116" s="8" t="s">
        <v>756</v>
      </c>
      <c r="C116" s="6" t="s">
        <v>1440</v>
      </c>
      <c r="D116" s="3" t="s">
        <v>1402</v>
      </c>
      <c r="E116" s="8" t="s">
        <v>874</v>
      </c>
      <c r="F116" s="3" t="s">
        <v>1441</v>
      </c>
      <c r="G116" s="8" t="s">
        <v>1442</v>
      </c>
      <c r="H116" s="6">
        <f t="shared" si="1"/>
        <v>34</v>
      </c>
      <c r="I116" s="6" t="str">
        <f t="shared" si="2"/>
        <v>CLIENT INPUT</v>
      </c>
      <c r="J116" s="6" t="s">
        <v>591</v>
      </c>
      <c r="K116" s="8" t="s">
        <v>1410</v>
      </c>
    </row>
    <row r="117" ht="78.0" customHeight="1">
      <c r="A117" s="8" t="s">
        <v>822</v>
      </c>
      <c r="B117" s="8" t="s">
        <v>756</v>
      </c>
      <c r="C117" s="6">
        <v>7.0</v>
      </c>
      <c r="D117" s="3" t="s">
        <v>636</v>
      </c>
      <c r="E117" s="8"/>
      <c r="F117" s="46" t="str">
        <f>IF($F$6="","",$F$6)</f>
        <v>How every flange is made and checked</v>
      </c>
      <c r="G117" s="46" t="str">
        <f>$G$6</f>
        <v>Every flange starts as a certified billet or bar whose heat number follows it through cutting, forging, heat treatment where the material specification requires it, CNC machining and drilling, and final marking of grade, class, size and heat number. Before dispatch we check dimensions against the governing standard and [CLIENT: list only tests actually done in-house, e.g. PMI, hardness, ultrasonic], and issue material test certificates that tie each flange back to its heat. Buyer-nominated third-party inspection can witness any stage [CONFIRM].</v>
      </c>
      <c r="H117" s="6">
        <f t="shared" si="1"/>
        <v>88</v>
      </c>
      <c r="I117" s="6" t="str">
        <f t="shared" si="2"/>
        <v>CLIENT INPUT</v>
      </c>
      <c r="J117" s="6" t="s">
        <v>600</v>
      </c>
      <c r="K117" s="8"/>
    </row>
    <row r="118" ht="53.25" customHeight="1">
      <c r="A118" s="8" t="s">
        <v>822</v>
      </c>
      <c r="B118" s="8" t="s">
        <v>756</v>
      </c>
      <c r="C118" s="6">
        <v>11.0</v>
      </c>
      <c r="D118" s="3" t="s">
        <v>665</v>
      </c>
      <c r="E118" s="8"/>
      <c r="F118" s="46" t="str">
        <f>IF($F$7="","",$F$7)</f>
        <v>Request a written quote</v>
      </c>
      <c r="G118" s="46" t="str">
        <f>$G$7</f>
        <v>A quote-ready enquiry lists: flange type · nominal size (NPS or DN) · pressure class or PN · facing (RF, FF or RTJ) · material specification and grade · bore or schedule for weld neck flanges · quantity · delivery location · testing and certificate needs (NACE, impact test, EN 10204 3.1/3.2, third-party inspection). Upload a BOQ or drawing and we will read it for you.</v>
      </c>
      <c r="H118" s="6">
        <f t="shared" si="1"/>
        <v>70</v>
      </c>
      <c r="I118" s="6" t="str">
        <f t="shared" si="2"/>
        <v>Ready</v>
      </c>
      <c r="J118" s="6" t="s">
        <v>600</v>
      </c>
      <c r="K118" s="8"/>
    </row>
    <row r="119" ht="27.75" customHeight="1">
      <c r="A119" s="8" t="s">
        <v>822</v>
      </c>
      <c r="B119" s="8" t="s">
        <v>756</v>
      </c>
      <c r="C119" s="6">
        <v>12.0</v>
      </c>
      <c r="D119" s="3" t="s">
        <v>344</v>
      </c>
      <c r="E119" s="8" t="s">
        <v>908</v>
      </c>
      <c r="F119" s="3" t="s">
        <v>1446</v>
      </c>
      <c r="G119" s="8"/>
      <c r="H119" s="6">
        <f t="shared" si="1"/>
        <v>7</v>
      </c>
      <c r="I119" s="6" t="str">
        <f t="shared" si="2"/>
        <v>Ready</v>
      </c>
      <c r="J119" s="6" t="s">
        <v>591</v>
      </c>
      <c r="K119" s="8" t="s">
        <v>914</v>
      </c>
    </row>
    <row r="120" ht="53.25" customHeight="1">
      <c r="A120" s="8" t="s">
        <v>822</v>
      </c>
      <c r="B120" s="8" t="s">
        <v>756</v>
      </c>
      <c r="C120" s="6">
        <v>13.0</v>
      </c>
      <c r="D120" s="3" t="s">
        <v>684</v>
      </c>
      <c r="E120" s="8" t="s">
        <v>915</v>
      </c>
      <c r="F120" s="3" t="s">
        <v>684</v>
      </c>
      <c r="G120" s="8" t="s">
        <v>1448</v>
      </c>
      <c r="H120" s="6">
        <f t="shared" si="1"/>
        <v>15</v>
      </c>
      <c r="I120" s="6" t="str">
        <f t="shared" si="2"/>
        <v>Ready</v>
      </c>
      <c r="J120" s="6" t="s">
        <v>581</v>
      </c>
      <c r="K120" s="8" t="s">
        <v>1449</v>
      </c>
    </row>
    <row r="121" ht="40.5" customHeight="1">
      <c r="A121" s="8" t="s">
        <v>822</v>
      </c>
      <c r="B121" s="8" t="s">
        <v>756</v>
      </c>
      <c r="C121" s="6">
        <v>14.0</v>
      </c>
      <c r="D121" s="3" t="s">
        <v>836</v>
      </c>
      <c r="E121" s="8"/>
      <c r="F121" s="46" t="str">
        <f>IF($F$8="","",$F$8)</f>
        <v/>
      </c>
      <c r="G121" s="46" t="str">
        <f>$G$8</f>
        <v>Send your requirement - we reply in writing. Fill the form or upload your BOQ; you get a line-by-line quote by email [CLIENT: reply time, e.g. within one working day]. No phone calls needed - everything is in writing.</v>
      </c>
      <c r="H121" s="6">
        <f t="shared" si="1"/>
        <v>39</v>
      </c>
      <c r="I121" s="6" t="str">
        <f t="shared" si="2"/>
        <v>CLIENT INPUT</v>
      </c>
      <c r="J121" s="6" t="s">
        <v>600</v>
      </c>
      <c r="K121" s="8"/>
    </row>
    <row r="122" ht="27.75" customHeight="1">
      <c r="A122" s="8" t="s">
        <v>845</v>
      </c>
      <c r="B122" s="8" t="s">
        <v>763</v>
      </c>
      <c r="C122" s="6">
        <v>1.0</v>
      </c>
      <c r="D122" s="3" t="s">
        <v>469</v>
      </c>
      <c r="E122" s="8" t="s">
        <v>469</v>
      </c>
      <c r="F122" s="3"/>
      <c r="G122" s="8" t="s">
        <v>861</v>
      </c>
      <c r="H122" s="6">
        <f t="shared" si="1"/>
        <v>8</v>
      </c>
      <c r="I122" s="6" t="str">
        <f t="shared" si="2"/>
        <v>Ready</v>
      </c>
      <c r="J122" s="6" t="s">
        <v>581</v>
      </c>
      <c r="K122" s="8" t="s">
        <v>850</v>
      </c>
    </row>
    <row r="123" ht="27.75" customHeight="1">
      <c r="A123" s="8" t="s">
        <v>845</v>
      </c>
      <c r="B123" s="8" t="s">
        <v>763</v>
      </c>
      <c r="C123" s="6">
        <v>2.0</v>
      </c>
      <c r="D123" s="3" t="s">
        <v>584</v>
      </c>
      <c r="E123" s="8" t="s">
        <v>452</v>
      </c>
      <c r="F123" s="3"/>
      <c r="G123" s="8" t="s">
        <v>851</v>
      </c>
      <c r="H123" s="6">
        <f t="shared" si="1"/>
        <v>5</v>
      </c>
      <c r="I123" s="6" t="str">
        <f t="shared" si="2"/>
        <v>Ready</v>
      </c>
      <c r="J123" s="6" t="s">
        <v>591</v>
      </c>
      <c r="K123" s="8" t="s">
        <v>853</v>
      </c>
    </row>
    <row r="124" ht="27.75" customHeight="1">
      <c r="A124" s="8" t="s">
        <v>845</v>
      </c>
      <c r="B124" s="8" t="s">
        <v>763</v>
      </c>
      <c r="C124" s="6">
        <v>2.0</v>
      </c>
      <c r="D124" s="3" t="s">
        <v>584</v>
      </c>
      <c r="E124" s="8" t="s">
        <v>854</v>
      </c>
      <c r="F124" s="3"/>
      <c r="G124" s="8" t="s">
        <v>852</v>
      </c>
      <c r="H124" s="6">
        <f t="shared" si="1"/>
        <v>15</v>
      </c>
      <c r="I124" s="6" t="str">
        <f t="shared" si="2"/>
        <v>Ready</v>
      </c>
      <c r="J124" s="6" t="s">
        <v>591</v>
      </c>
      <c r="K124" s="8"/>
    </row>
    <row r="125" ht="53.25" customHeight="1">
      <c r="A125" s="8" t="s">
        <v>845</v>
      </c>
      <c r="B125" s="8" t="s">
        <v>763</v>
      </c>
      <c r="C125" s="6">
        <v>2.0</v>
      </c>
      <c r="D125" s="3" t="s">
        <v>584</v>
      </c>
      <c r="E125" s="8" t="s">
        <v>1396</v>
      </c>
      <c r="F125" s="3"/>
      <c r="G125" s="8" t="s">
        <v>1457</v>
      </c>
      <c r="H125" s="6">
        <f t="shared" si="1"/>
        <v>49</v>
      </c>
      <c r="I125" s="6" t="str">
        <f t="shared" si="2"/>
        <v>Ready</v>
      </c>
      <c r="J125" s="6" t="s">
        <v>591</v>
      </c>
      <c r="K125" s="8" t="s">
        <v>857</v>
      </c>
    </row>
    <row r="126" ht="40.5" customHeight="1">
      <c r="A126" s="8" t="s">
        <v>845</v>
      </c>
      <c r="B126" s="8" t="s">
        <v>763</v>
      </c>
      <c r="C126" s="6">
        <v>3.0</v>
      </c>
      <c r="D126" s="3" t="s">
        <v>312</v>
      </c>
      <c r="E126" s="8"/>
      <c r="F126" s="46" t="str">
        <f>IF($F$5="","",$F$5)</f>
        <v/>
      </c>
      <c r="G126" s="46" t="str">
        <f>$G$5</f>
        <v>GSTIN 27FFLPP0007K1ZA (verify on the GST portal) · GST-registered since 2020 · Proprietorship led by Vikas Purohit, CEO · Manufacturing unit in Mumbai, Maharashtra [CLIENT: locality] · [CLIENT: real certifications only, e.g. ISO 9001:2015 — delete if none] · Written quotes by email, no calls needed</v>
      </c>
      <c r="H126" s="6">
        <f t="shared" si="1"/>
        <v>46</v>
      </c>
      <c r="I126" s="6" t="str">
        <f t="shared" si="2"/>
        <v>CLIENT INPUT</v>
      </c>
      <c r="J126" s="6" t="s">
        <v>600</v>
      </c>
      <c r="K126" s="8"/>
    </row>
    <row r="127" ht="66.0" customHeight="1">
      <c r="A127" s="8" t="s">
        <v>845</v>
      </c>
      <c r="B127" s="8" t="s">
        <v>763</v>
      </c>
      <c r="C127" s="6" t="s">
        <v>1401</v>
      </c>
      <c r="D127" s="3" t="s">
        <v>1402</v>
      </c>
      <c r="E127" s="8" t="s">
        <v>874</v>
      </c>
      <c r="F127" s="3" t="s">
        <v>1466</v>
      </c>
      <c r="G127" s="8" t="s">
        <v>1467</v>
      </c>
      <c r="H127" s="6">
        <f t="shared" si="1"/>
        <v>65</v>
      </c>
      <c r="I127" s="6" t="str">
        <f t="shared" si="2"/>
        <v>Ready</v>
      </c>
      <c r="J127" s="6" t="s">
        <v>591</v>
      </c>
      <c r="K127" s="8" t="s">
        <v>1410</v>
      </c>
    </row>
    <row r="128" ht="27.75" customHeight="1">
      <c r="A128" s="8" t="s">
        <v>845</v>
      </c>
      <c r="B128" s="8" t="s">
        <v>763</v>
      </c>
      <c r="C128" s="6" t="s">
        <v>1411</v>
      </c>
      <c r="D128" s="3" t="s">
        <v>1402</v>
      </c>
      <c r="E128" s="8" t="s">
        <v>874</v>
      </c>
      <c r="F128" s="3" t="s">
        <v>715</v>
      </c>
      <c r="G128" s="8" t="s">
        <v>1470</v>
      </c>
      <c r="H128" s="6">
        <f t="shared" si="1"/>
        <v>33</v>
      </c>
      <c r="I128" s="6" t="str">
        <f t="shared" si="2"/>
        <v>Ready</v>
      </c>
      <c r="J128" s="6" t="s">
        <v>591</v>
      </c>
      <c r="K128" s="8" t="s">
        <v>1410</v>
      </c>
    </row>
    <row r="129" ht="53.25" customHeight="1">
      <c r="A129" s="8" t="s">
        <v>845</v>
      </c>
      <c r="B129" s="8" t="s">
        <v>763</v>
      </c>
      <c r="C129" s="6" t="s">
        <v>1427</v>
      </c>
      <c r="D129" s="3" t="s">
        <v>1402</v>
      </c>
      <c r="E129" s="8" t="s">
        <v>874</v>
      </c>
      <c r="F129" s="3" t="s">
        <v>219</v>
      </c>
      <c r="G129" s="8" t="s">
        <v>1471</v>
      </c>
      <c r="H129" s="6">
        <f t="shared" si="1"/>
        <v>65</v>
      </c>
      <c r="I129" s="6" t="str">
        <f t="shared" si="2"/>
        <v>Ready</v>
      </c>
      <c r="J129" s="6" t="s">
        <v>591</v>
      </c>
      <c r="K129" s="8" t="s">
        <v>1410</v>
      </c>
    </row>
    <row r="130" ht="40.5" customHeight="1">
      <c r="A130" s="8" t="s">
        <v>845</v>
      </c>
      <c r="B130" s="8" t="s">
        <v>763</v>
      </c>
      <c r="C130" s="6" t="s">
        <v>1431</v>
      </c>
      <c r="D130" s="3" t="s">
        <v>1402</v>
      </c>
      <c r="E130" s="8" t="s">
        <v>874</v>
      </c>
      <c r="F130" s="3" t="s">
        <v>235</v>
      </c>
      <c r="G130" s="8" t="s">
        <v>1474</v>
      </c>
      <c r="H130" s="6">
        <f t="shared" si="1"/>
        <v>41</v>
      </c>
      <c r="I130" s="6" t="str">
        <f t="shared" si="2"/>
        <v>Ready</v>
      </c>
      <c r="J130" s="6" t="s">
        <v>591</v>
      </c>
      <c r="K130" s="8" t="s">
        <v>1410</v>
      </c>
    </row>
    <row r="131" ht="53.25" customHeight="1">
      <c r="A131" s="8" t="s">
        <v>845</v>
      </c>
      <c r="B131" s="8" t="s">
        <v>763</v>
      </c>
      <c r="C131" s="6" t="s">
        <v>1434</v>
      </c>
      <c r="D131" s="3" t="s">
        <v>1402</v>
      </c>
      <c r="E131" s="8" t="s">
        <v>874</v>
      </c>
      <c r="F131" s="3" t="s">
        <v>200</v>
      </c>
      <c r="G131" s="8" t="s">
        <v>1479</v>
      </c>
      <c r="H131" s="6">
        <f t="shared" si="1"/>
        <v>47</v>
      </c>
      <c r="I131" s="6" t="str">
        <f t="shared" si="2"/>
        <v>Ready</v>
      </c>
      <c r="J131" s="6" t="s">
        <v>591</v>
      </c>
      <c r="K131" s="8" t="s">
        <v>1410</v>
      </c>
    </row>
    <row r="132" ht="53.25" customHeight="1">
      <c r="A132" s="8" t="s">
        <v>845</v>
      </c>
      <c r="B132" s="8" t="s">
        <v>763</v>
      </c>
      <c r="C132" s="6" t="s">
        <v>1437</v>
      </c>
      <c r="D132" s="3" t="s">
        <v>1402</v>
      </c>
      <c r="E132" s="8" t="s">
        <v>874</v>
      </c>
      <c r="F132" s="3" t="s">
        <v>1485</v>
      </c>
      <c r="G132" s="8" t="s">
        <v>1486</v>
      </c>
      <c r="H132" s="6">
        <f t="shared" si="1"/>
        <v>59</v>
      </c>
      <c r="I132" s="6" t="str">
        <f t="shared" si="2"/>
        <v>CONFIRM</v>
      </c>
      <c r="J132" s="6" t="s">
        <v>591</v>
      </c>
      <c r="K132" s="8" t="s">
        <v>1410</v>
      </c>
    </row>
    <row r="133" ht="78.0" customHeight="1">
      <c r="A133" s="8" t="s">
        <v>845</v>
      </c>
      <c r="B133" s="8" t="s">
        <v>763</v>
      </c>
      <c r="C133" s="6">
        <v>7.0</v>
      </c>
      <c r="D133" s="3" t="s">
        <v>636</v>
      </c>
      <c r="E133" s="8"/>
      <c r="F133" s="46" t="str">
        <f>IF($F$6="","",$F$6)</f>
        <v>How every flange is made and checked</v>
      </c>
      <c r="G133" s="46" t="str">
        <f>$G$6</f>
        <v>Every flange starts as a certified billet or bar whose heat number follows it through cutting, forging, heat treatment where the material specification requires it, CNC machining and drilling, and final marking of grade, class, size and heat number. Before dispatch we check dimensions against the governing standard and [CLIENT: list only tests actually done in-house, e.g. PMI, hardness, ultrasonic], and issue material test certificates that tie each flange back to its heat. Buyer-nominated third-party inspection can witness any stage [CONFIRM].</v>
      </c>
      <c r="H133" s="6">
        <f t="shared" si="1"/>
        <v>88</v>
      </c>
      <c r="I133" s="6" t="str">
        <f t="shared" si="2"/>
        <v>CLIENT INPUT</v>
      </c>
      <c r="J133" s="6" t="s">
        <v>600</v>
      </c>
      <c r="K133" s="8"/>
    </row>
    <row r="134" ht="53.25" customHeight="1">
      <c r="A134" s="8" t="s">
        <v>845</v>
      </c>
      <c r="B134" s="8" t="s">
        <v>763</v>
      </c>
      <c r="C134" s="6">
        <v>11.0</v>
      </c>
      <c r="D134" s="3" t="s">
        <v>665</v>
      </c>
      <c r="E134" s="8"/>
      <c r="F134" s="46" t="str">
        <f>IF($F$7="","",$F$7)</f>
        <v>Request a written quote</v>
      </c>
      <c r="G134" s="46" t="str">
        <f>$G$7</f>
        <v>A quote-ready enquiry lists: flange type · nominal size (NPS or DN) · pressure class or PN · facing (RF, FF or RTJ) · material specification and grade · bore or schedule for weld neck flanges · quantity · delivery location · testing and certificate needs (NACE, impact test, EN 10204 3.1/3.2, third-party inspection). Upload a BOQ or drawing and we will read it for you.</v>
      </c>
      <c r="H134" s="6">
        <f t="shared" si="1"/>
        <v>70</v>
      </c>
      <c r="I134" s="6" t="str">
        <f t="shared" si="2"/>
        <v>Ready</v>
      </c>
      <c r="J134" s="6" t="s">
        <v>600</v>
      </c>
      <c r="K134" s="8"/>
    </row>
    <row r="135" ht="27.75" customHeight="1">
      <c r="A135" s="8" t="s">
        <v>845</v>
      </c>
      <c r="B135" s="8" t="s">
        <v>763</v>
      </c>
      <c r="C135" s="6">
        <v>12.0</v>
      </c>
      <c r="D135" s="3" t="s">
        <v>344</v>
      </c>
      <c r="E135" s="8" t="s">
        <v>908</v>
      </c>
      <c r="F135" s="3" t="s">
        <v>1504</v>
      </c>
      <c r="G135" s="8"/>
      <c r="H135" s="6">
        <f t="shared" si="1"/>
        <v>7</v>
      </c>
      <c r="I135" s="6" t="str">
        <f t="shared" si="2"/>
        <v>Ready</v>
      </c>
      <c r="J135" s="6" t="s">
        <v>591</v>
      </c>
      <c r="K135" s="8" t="s">
        <v>914</v>
      </c>
    </row>
    <row r="136" ht="27.75" customHeight="1">
      <c r="A136" s="8" t="s">
        <v>845</v>
      </c>
      <c r="B136" s="8" t="s">
        <v>763</v>
      </c>
      <c r="C136" s="6">
        <v>13.0</v>
      </c>
      <c r="D136" s="3" t="s">
        <v>684</v>
      </c>
      <c r="E136" s="8" t="s">
        <v>915</v>
      </c>
      <c r="F136" s="3" t="s">
        <v>684</v>
      </c>
      <c r="G136" s="8" t="s">
        <v>1506</v>
      </c>
      <c r="H136" s="6">
        <f t="shared" si="1"/>
        <v>9</v>
      </c>
      <c r="I136" s="6" t="str">
        <f t="shared" si="2"/>
        <v>Ready</v>
      </c>
      <c r="J136" s="6" t="s">
        <v>581</v>
      </c>
      <c r="K136" s="8" t="s">
        <v>1507</v>
      </c>
    </row>
    <row r="137" ht="40.5" customHeight="1">
      <c r="A137" s="8" t="s">
        <v>845</v>
      </c>
      <c r="B137" s="8" t="s">
        <v>763</v>
      </c>
      <c r="C137" s="6">
        <v>14.0</v>
      </c>
      <c r="D137" s="3" t="s">
        <v>836</v>
      </c>
      <c r="E137" s="8"/>
      <c r="F137" s="46" t="str">
        <f>IF($F$8="","",$F$8)</f>
        <v/>
      </c>
      <c r="G137" s="46" t="str">
        <f>$G$8</f>
        <v>Send your requirement - we reply in writing. Fill the form or upload your BOQ; you get a line-by-line quote by email [CLIENT: reply time, e.g. within one working day]. No phone calls needed - everything is in writing.</v>
      </c>
      <c r="H137" s="6">
        <f t="shared" si="1"/>
        <v>39</v>
      </c>
      <c r="I137" s="6" t="str">
        <f t="shared" si="2"/>
        <v>CLIENT INPUT</v>
      </c>
      <c r="J137" s="6" t="s">
        <v>600</v>
      </c>
      <c r="K137" s="8"/>
    </row>
    <row r="138" ht="15.0" customHeight="1">
      <c r="A138" s="8" t="s">
        <v>862</v>
      </c>
      <c r="B138" s="8" t="s">
        <v>1508</v>
      </c>
      <c r="C138" s="6">
        <v>1.0</v>
      </c>
      <c r="D138" s="3" t="s">
        <v>469</v>
      </c>
      <c r="E138" s="8" t="s">
        <v>469</v>
      </c>
      <c r="F138" s="3"/>
      <c r="G138" s="8" t="s">
        <v>884</v>
      </c>
      <c r="H138" s="6">
        <f t="shared" si="1"/>
        <v>5</v>
      </c>
      <c r="I138" s="6" t="str">
        <f t="shared" si="2"/>
        <v>Ready</v>
      </c>
      <c r="J138" s="6" t="s">
        <v>581</v>
      </c>
      <c r="K138" s="8"/>
    </row>
    <row r="139" ht="15.0" customHeight="1">
      <c r="A139" s="8" t="s">
        <v>862</v>
      </c>
      <c r="B139" s="8" t="s">
        <v>1508</v>
      </c>
      <c r="C139" s="6">
        <v>2.0</v>
      </c>
      <c r="D139" s="3" t="s">
        <v>584</v>
      </c>
      <c r="E139" s="8" t="s">
        <v>452</v>
      </c>
      <c r="F139" s="3"/>
      <c r="G139" s="8" t="s">
        <v>871</v>
      </c>
      <c r="H139" s="6">
        <f t="shared" si="1"/>
        <v>6</v>
      </c>
      <c r="I139" s="6" t="str">
        <f t="shared" si="2"/>
        <v>Ready</v>
      </c>
      <c r="J139" s="6" t="s">
        <v>591</v>
      </c>
      <c r="K139" s="8"/>
    </row>
    <row r="140" ht="27.75" customHeight="1">
      <c r="A140" s="8" t="s">
        <v>862</v>
      </c>
      <c r="B140" s="8" t="s">
        <v>1508</v>
      </c>
      <c r="C140" s="6">
        <v>2.0</v>
      </c>
      <c r="D140" s="3" t="s">
        <v>584</v>
      </c>
      <c r="E140" s="8" t="s">
        <v>854</v>
      </c>
      <c r="F140" s="3"/>
      <c r="G140" s="8" t="s">
        <v>872</v>
      </c>
      <c r="H140" s="6">
        <f t="shared" si="1"/>
        <v>17</v>
      </c>
      <c r="I140" s="6" t="str">
        <f t="shared" si="2"/>
        <v>Ready</v>
      </c>
      <c r="J140" s="6" t="s">
        <v>591</v>
      </c>
      <c r="K140" s="8"/>
    </row>
    <row r="141" ht="40.5" customHeight="1">
      <c r="A141" s="8" t="s">
        <v>862</v>
      </c>
      <c r="B141" s="8" t="s">
        <v>1508</v>
      </c>
      <c r="C141" s="6">
        <v>2.0</v>
      </c>
      <c r="D141" s="3" t="s">
        <v>584</v>
      </c>
      <c r="E141" s="8" t="s">
        <v>1511</v>
      </c>
      <c r="F141" s="3"/>
      <c r="G141" s="8" t="s">
        <v>1513</v>
      </c>
      <c r="H141" s="6">
        <f t="shared" si="1"/>
        <v>35</v>
      </c>
      <c r="I141" s="6" t="str">
        <f t="shared" si="2"/>
        <v>Ready</v>
      </c>
      <c r="J141" s="6" t="s">
        <v>591</v>
      </c>
      <c r="K141" s="8"/>
    </row>
    <row r="142" ht="66.0" customHeight="1">
      <c r="A142" s="8" t="s">
        <v>862</v>
      </c>
      <c r="B142" s="8" t="s">
        <v>1508</v>
      </c>
      <c r="C142" s="6">
        <v>4.0</v>
      </c>
      <c r="D142" s="3" t="s">
        <v>1515</v>
      </c>
      <c r="E142" s="8" t="s">
        <v>915</v>
      </c>
      <c r="F142" s="3" t="s">
        <v>1516</v>
      </c>
      <c r="G142" s="8" t="s">
        <v>1517</v>
      </c>
      <c r="H142" s="6">
        <f t="shared" si="1"/>
        <v>8</v>
      </c>
      <c r="I142" s="6" t="str">
        <f t="shared" si="2"/>
        <v>Ready</v>
      </c>
      <c r="J142" s="6" t="s">
        <v>581</v>
      </c>
      <c r="K142" s="8" t="s">
        <v>1519</v>
      </c>
    </row>
    <row r="143" ht="53.25" customHeight="1">
      <c r="A143" s="8" t="s">
        <v>862</v>
      </c>
      <c r="B143" s="8" t="s">
        <v>1508</v>
      </c>
      <c r="C143" s="6">
        <v>11.0</v>
      </c>
      <c r="D143" s="3" t="s">
        <v>665</v>
      </c>
      <c r="E143" s="8"/>
      <c r="F143" s="46" t="str">
        <f>IF($F$7="","",$F$7)</f>
        <v>Request a written quote</v>
      </c>
      <c r="G143" s="46" t="str">
        <f>$G$7</f>
        <v>A quote-ready enquiry lists: flange type · nominal size (NPS or DN) · pressure class or PN · facing (RF, FF or RTJ) · material specification and grade · bore or schedule for weld neck flanges · quantity · delivery location · testing and certificate needs (NACE, impact test, EN 10204 3.1/3.2, third-party inspection). Upload a BOQ or drawing and we will read it for you.</v>
      </c>
      <c r="H143" s="6">
        <f t="shared" si="1"/>
        <v>70</v>
      </c>
      <c r="I143" s="6" t="str">
        <f t="shared" si="2"/>
        <v>Ready</v>
      </c>
      <c r="J143" s="6" t="s">
        <v>600</v>
      </c>
      <c r="K143" s="8"/>
    </row>
    <row r="144" ht="40.5" customHeight="1">
      <c r="A144" s="8" t="s">
        <v>862</v>
      </c>
      <c r="B144" s="8" t="s">
        <v>1508</v>
      </c>
      <c r="C144" s="6">
        <v>14.0</v>
      </c>
      <c r="D144" s="3" t="s">
        <v>836</v>
      </c>
      <c r="E144" s="8"/>
      <c r="F144" s="46" t="str">
        <f>IF($F$8="","",$F$8)</f>
        <v/>
      </c>
      <c r="G144" s="46" t="str">
        <f>$G$8</f>
        <v>Send your requirement - we reply in writing. Fill the form or upload your BOQ; you get a line-by-line quote by email [CLIENT: reply time, e.g. within one working day]. No phone calls needed - everything is in writing.</v>
      </c>
      <c r="H144" s="6">
        <f t="shared" si="1"/>
        <v>39</v>
      </c>
      <c r="I144" s="6" t="str">
        <f t="shared" si="2"/>
        <v>CLIENT INPUT</v>
      </c>
      <c r="J144" s="6" t="s">
        <v>600</v>
      </c>
      <c r="K144" s="8"/>
    </row>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F5:G144">
    <cfRule type="expression" dxfId="3" priority="1">
      <formula>OR(ISNUMBER(FIND("[CLIENT",F5)),ISNUMBER(FIND("[CONFIRM",F5)),ISNUMBER(FIND("[DEV",F5)))</formula>
    </cfRule>
  </conditionalFormatting>
  <conditionalFormatting sqref="I5:I144">
    <cfRule type="expression" dxfId="0" priority="2">
      <formula>I5="Ready"</formula>
    </cfRule>
  </conditionalFormatting>
  <conditionalFormatting sqref="I5:I144">
    <cfRule type="expression" dxfId="2" priority="3">
      <formula>AND(I5&lt;&gt;"",NOT(I5="Ready"))</formula>
    </cfRule>
  </conditionalFormatting>
  <printOptions/>
  <pageMargins bottom="1.0" footer="0.0" header="0.0" left="0.75" right="0.75" top="1.0"/>
  <pageSetup fitToHeight="0" paperSize="9"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12.0"/>
    <col customWidth="1" min="2" max="2" width="15.0"/>
    <col customWidth="1" min="3" max="3" width="5.0"/>
    <col customWidth="1" min="4" max="4" width="28.0"/>
    <col customWidth="1" min="5" max="6" width="42.0"/>
    <col customWidth="1" min="7" max="7" width="56.0"/>
    <col customWidth="1" min="8" max="8" width="7.0"/>
    <col customWidth="1" min="9" max="9" width="13.0"/>
    <col customWidth="1" min="10" max="10" width="40.0"/>
    <col customWidth="1" min="11" max="26" width="8.71"/>
  </cols>
  <sheetData>
    <row r="1" ht="21.75" customHeight="1">
      <c r="A1" s="1" t="s">
        <v>938</v>
      </c>
    </row>
    <row r="2">
      <c r="A2" s="2" t="s">
        <v>939</v>
      </c>
    </row>
    <row r="4" ht="30.0" customHeight="1">
      <c r="A4" s="4" t="s">
        <v>439</v>
      </c>
      <c r="B4" s="4" t="s">
        <v>940</v>
      </c>
      <c r="C4" s="4" t="s">
        <v>941</v>
      </c>
      <c r="D4" s="4" t="s">
        <v>942</v>
      </c>
      <c r="E4" s="4" t="s">
        <v>943</v>
      </c>
      <c r="F4" s="4" t="s">
        <v>944</v>
      </c>
      <c r="G4" s="4" t="s">
        <v>945</v>
      </c>
      <c r="H4" s="4" t="s">
        <v>571</v>
      </c>
      <c r="I4" s="4" t="s">
        <v>796</v>
      </c>
      <c r="J4" s="4" t="s">
        <v>440</v>
      </c>
    </row>
    <row r="5" ht="53.25" customHeight="1">
      <c r="A5" s="8" t="s">
        <v>475</v>
      </c>
      <c r="B5" s="8" t="s">
        <v>611</v>
      </c>
      <c r="C5" s="8">
        <v>1.0</v>
      </c>
      <c r="D5" s="3" t="s">
        <v>948</v>
      </c>
      <c r="E5" s="8" t="s">
        <v>949</v>
      </c>
      <c r="F5" s="8" t="s">
        <v>951</v>
      </c>
      <c r="G5" s="8" t="s">
        <v>953</v>
      </c>
      <c r="H5" s="6">
        <f t="shared" ref="H5:H10" si="1">IF(LEN(TRIM(SUBSTITUTE(D5,CHAR(10)," ")))=0,0,LEN(TRIM(SUBSTITUTE(D5,CHAR(10)," ")))-LEN(SUBSTITUTE(TRIM(SUBSTITUTE(D5,CHAR(10)," "))," ",""))+1)+IF(LEN(TRIM(SUBSTITUTE(E5,CHAR(10)," ")))=0,0,LEN(TRIM(SUBSTITUTE(E5,CHAR(10)," ")))-LEN(SUBSTITUTE(TRIM(SUBSTITUTE(E5,CHAR(10)," "))," ",""))+1)+IF(LEN(TRIM(SUBSTITUTE(F5,CHAR(10)," ")))=0,0,LEN(TRIM(SUBSTITUTE(F5,CHAR(10)," ")))-LEN(SUBSTITUTE(TRIM(SUBSTITUTE(F5,CHAR(10)," "))," ",""))+1)+IF(LEN(TRIM(SUBSTITUTE(G5,CHAR(10)," ")))=0,0,LEN(TRIM(SUBSTITUTE(G5,CHAR(10)," ")))-LEN(SUBSTITUTE(TRIM(SUBSTITUTE(G5,CHAR(10)," "))," ",""))+1)</f>
        <v>66</v>
      </c>
      <c r="I5" s="6" t="str">
        <f t="shared" ref="I5:I72" si="2">IF(ISNUMBER(FIND("[CLIENT",D5&amp;E5&amp;F5&amp;G5)),"CLIENT INPUT",IF(ISNUMBER(FIND("[CONFIRM",D5&amp;E5&amp;F5&amp;G5)),"CONFIRM",IF(ISNUMBER(FIND("[DEV",D5&amp;E5&amp;F5&amp;G5)),"DEV NOTE","Ready")))</f>
        <v>Ready</v>
      </c>
      <c r="J5" s="8" t="s">
        <v>966</v>
      </c>
    </row>
    <row r="6" ht="40.5" customHeight="1">
      <c r="A6" s="8" t="s">
        <v>475</v>
      </c>
      <c r="B6" s="8" t="s">
        <v>611</v>
      </c>
      <c r="C6" s="8">
        <v>2.0</v>
      </c>
      <c r="D6" s="3" t="s">
        <v>967</v>
      </c>
      <c r="E6" s="8" t="s">
        <v>968</v>
      </c>
      <c r="F6" s="8" t="s">
        <v>969</v>
      </c>
      <c r="G6" s="8" t="s">
        <v>970</v>
      </c>
      <c r="H6" s="6">
        <f t="shared" si="1"/>
        <v>50</v>
      </c>
      <c r="I6" s="6" t="str">
        <f t="shared" si="2"/>
        <v>Ready</v>
      </c>
      <c r="J6" s="8"/>
    </row>
    <row r="7" ht="40.5" customHeight="1">
      <c r="A7" s="8" t="s">
        <v>475</v>
      </c>
      <c r="B7" s="8" t="s">
        <v>611</v>
      </c>
      <c r="C7" s="8">
        <v>3.0</v>
      </c>
      <c r="D7" s="3" t="s">
        <v>973</v>
      </c>
      <c r="E7" s="8" t="s">
        <v>974</v>
      </c>
      <c r="F7" s="8" t="s">
        <v>975</v>
      </c>
      <c r="G7" s="8" t="s">
        <v>977</v>
      </c>
      <c r="H7" s="6">
        <f t="shared" si="1"/>
        <v>55</v>
      </c>
      <c r="I7" s="6" t="str">
        <f t="shared" si="2"/>
        <v>Ready</v>
      </c>
      <c r="J7" s="8"/>
    </row>
    <row r="8" ht="27.75" customHeight="1">
      <c r="A8" s="8" t="s">
        <v>475</v>
      </c>
      <c r="B8" s="8" t="s">
        <v>611</v>
      </c>
      <c r="C8" s="8">
        <v>4.0</v>
      </c>
      <c r="D8" s="3" t="s">
        <v>979</v>
      </c>
      <c r="E8" s="8" t="s">
        <v>980</v>
      </c>
      <c r="F8" s="8" t="s">
        <v>981</v>
      </c>
      <c r="G8" s="8" t="s">
        <v>982</v>
      </c>
      <c r="H8" s="6">
        <f t="shared" si="1"/>
        <v>40</v>
      </c>
      <c r="I8" s="6" t="str">
        <f t="shared" si="2"/>
        <v>Ready</v>
      </c>
      <c r="J8" s="8"/>
    </row>
    <row r="9" ht="40.5" customHeight="1">
      <c r="A9" s="8" t="s">
        <v>475</v>
      </c>
      <c r="B9" s="8" t="s">
        <v>611</v>
      </c>
      <c r="C9" s="8">
        <v>5.0</v>
      </c>
      <c r="D9" s="3" t="s">
        <v>987</v>
      </c>
      <c r="E9" s="8" t="s">
        <v>988</v>
      </c>
      <c r="F9" s="8" t="s">
        <v>989</v>
      </c>
      <c r="G9" s="8" t="s">
        <v>990</v>
      </c>
      <c r="H9" s="6">
        <f t="shared" si="1"/>
        <v>58</v>
      </c>
      <c r="I9" s="6" t="str">
        <f t="shared" si="2"/>
        <v>Ready</v>
      </c>
      <c r="J9" s="8"/>
    </row>
    <row r="10" ht="27.75" customHeight="1">
      <c r="A10" s="8" t="s">
        <v>475</v>
      </c>
      <c r="B10" s="8" t="s">
        <v>611</v>
      </c>
      <c r="C10" s="8">
        <v>6.0</v>
      </c>
      <c r="D10" s="3" t="s">
        <v>996</v>
      </c>
      <c r="E10" s="8" t="s">
        <v>1001</v>
      </c>
      <c r="F10" s="8" t="s">
        <v>1002</v>
      </c>
      <c r="G10" s="8" t="s">
        <v>1003</v>
      </c>
      <c r="H10" s="6">
        <f t="shared" si="1"/>
        <v>43</v>
      </c>
      <c r="I10" s="6" t="str">
        <f t="shared" si="2"/>
        <v>Ready</v>
      </c>
      <c r="J10" s="8"/>
    </row>
    <row r="11" ht="40.5" customHeight="1">
      <c r="A11" s="8" t="s">
        <v>475</v>
      </c>
      <c r="B11" s="8" t="s">
        <v>627</v>
      </c>
      <c r="C11" s="8">
        <v>1.0</v>
      </c>
      <c r="D11" s="3" t="s">
        <v>1010</v>
      </c>
      <c r="E11" s="8" t="s">
        <v>1011</v>
      </c>
      <c r="F11" s="8" t="s">
        <v>1012</v>
      </c>
      <c r="G11" s="8" t="s">
        <v>1013</v>
      </c>
      <c r="H11" s="6">
        <f t="shared" ref="H11:H17" si="3">IF(LEN(TRIM(SUBSTITUTE(D11,CHAR(10)," ")))=0,0,LEN(TRIM(SUBSTITUTE(D11,CHAR(10)," ")))-LEN(SUBSTITUTE(TRIM(SUBSTITUTE(D11,CHAR(10)," "))," ",""))+1)+IF(LEN(TRIM(SUBSTITUTE(F11,CHAR(10)," ")))=0,0,LEN(TRIM(SUBSTITUTE(F11,CHAR(10)," ")))-LEN(SUBSTITUTE(TRIM(SUBSTITUTE(F11,CHAR(10)," "))," ",""))+1)</f>
        <v>12</v>
      </c>
      <c r="I11" s="6" t="str">
        <f t="shared" si="2"/>
        <v>CONFIRM</v>
      </c>
      <c r="J11" s="8" t="s">
        <v>1033</v>
      </c>
    </row>
    <row r="12" ht="27.75" customHeight="1">
      <c r="A12" s="8" t="s">
        <v>475</v>
      </c>
      <c r="B12" s="8" t="s">
        <v>627</v>
      </c>
      <c r="C12" s="8">
        <v>2.0</v>
      </c>
      <c r="D12" s="3" t="s">
        <v>1034</v>
      </c>
      <c r="E12" s="8" t="s">
        <v>1035</v>
      </c>
      <c r="F12" s="8" t="s">
        <v>1036</v>
      </c>
      <c r="G12" s="8" t="s">
        <v>1037</v>
      </c>
      <c r="H12" s="6">
        <f t="shared" si="3"/>
        <v>15</v>
      </c>
      <c r="I12" s="6" t="str">
        <f t="shared" si="2"/>
        <v>Ready</v>
      </c>
      <c r="J12" s="8"/>
    </row>
    <row r="13" ht="27.75" customHeight="1">
      <c r="A13" s="8" t="s">
        <v>475</v>
      </c>
      <c r="B13" s="8" t="s">
        <v>627</v>
      </c>
      <c r="C13" s="8">
        <v>3.0</v>
      </c>
      <c r="D13" s="3" t="s">
        <v>1040</v>
      </c>
      <c r="E13" s="8" t="s">
        <v>1041</v>
      </c>
      <c r="F13" s="8" t="s">
        <v>1042</v>
      </c>
      <c r="G13" s="8" t="s">
        <v>1013</v>
      </c>
      <c r="H13" s="6">
        <f t="shared" si="3"/>
        <v>12</v>
      </c>
      <c r="I13" s="6" t="str">
        <f t="shared" si="2"/>
        <v>CONFIRM</v>
      </c>
      <c r="J13" s="8"/>
    </row>
    <row r="14" ht="27.75" customHeight="1">
      <c r="A14" s="8" t="s">
        <v>475</v>
      </c>
      <c r="B14" s="8" t="s">
        <v>627</v>
      </c>
      <c r="C14" s="8">
        <v>4.0</v>
      </c>
      <c r="D14" s="3" t="s">
        <v>1049</v>
      </c>
      <c r="E14" s="8" t="s">
        <v>1050</v>
      </c>
      <c r="F14" s="8" t="s">
        <v>1051</v>
      </c>
      <c r="G14" s="8" t="s">
        <v>1037</v>
      </c>
      <c r="H14" s="6">
        <f t="shared" si="3"/>
        <v>14</v>
      </c>
      <c r="I14" s="6" t="str">
        <f t="shared" si="2"/>
        <v>Ready</v>
      </c>
      <c r="J14" s="8"/>
    </row>
    <row r="15" ht="27.75" customHeight="1">
      <c r="A15" s="8" t="s">
        <v>475</v>
      </c>
      <c r="B15" s="8" t="s">
        <v>627</v>
      </c>
      <c r="C15" s="8">
        <v>5.0</v>
      </c>
      <c r="D15" s="3" t="s">
        <v>1055</v>
      </c>
      <c r="E15" s="8" t="s">
        <v>1056</v>
      </c>
      <c r="F15" s="8" t="s">
        <v>1057</v>
      </c>
      <c r="G15" s="8" t="s">
        <v>1013</v>
      </c>
      <c r="H15" s="6">
        <f t="shared" si="3"/>
        <v>12</v>
      </c>
      <c r="I15" s="6" t="str">
        <f t="shared" si="2"/>
        <v>CONFIRM</v>
      </c>
      <c r="J15" s="8"/>
    </row>
    <row r="16" ht="27.75" customHeight="1">
      <c r="A16" s="8" t="s">
        <v>475</v>
      </c>
      <c r="B16" s="8" t="s">
        <v>627</v>
      </c>
      <c r="C16" s="8">
        <v>6.0</v>
      </c>
      <c r="D16" s="3" t="s">
        <v>1060</v>
      </c>
      <c r="E16" s="8" t="s">
        <v>1061</v>
      </c>
      <c r="F16" s="8" t="s">
        <v>1062</v>
      </c>
      <c r="G16" s="8" t="s">
        <v>1013</v>
      </c>
      <c r="H16" s="6">
        <f t="shared" si="3"/>
        <v>10</v>
      </c>
      <c r="I16" s="6" t="str">
        <f t="shared" si="2"/>
        <v>CONFIRM</v>
      </c>
      <c r="J16" s="8"/>
    </row>
    <row r="17" ht="27.75" customHeight="1">
      <c r="A17" s="8" t="s">
        <v>475</v>
      </c>
      <c r="B17" s="8" t="s">
        <v>627</v>
      </c>
      <c r="C17" s="8">
        <v>7.0</v>
      </c>
      <c r="D17" s="3" t="s">
        <v>1065</v>
      </c>
      <c r="E17" s="8" t="s">
        <v>1066</v>
      </c>
      <c r="F17" s="8" t="s">
        <v>1067</v>
      </c>
      <c r="G17" s="8" t="s">
        <v>1013</v>
      </c>
      <c r="H17" s="6">
        <f t="shared" si="3"/>
        <v>14</v>
      </c>
      <c r="I17" s="6" t="str">
        <f t="shared" si="2"/>
        <v>CONFIRM</v>
      </c>
      <c r="J17" s="8"/>
    </row>
    <row r="18" ht="40.5" customHeight="1">
      <c r="A18" s="8" t="s">
        <v>587</v>
      </c>
      <c r="B18" s="8" t="s">
        <v>611</v>
      </c>
      <c r="C18" s="8">
        <v>1.0</v>
      </c>
      <c r="D18" s="3" t="s">
        <v>1072</v>
      </c>
      <c r="E18" s="8" t="s">
        <v>1073</v>
      </c>
      <c r="F18" s="8" t="s">
        <v>1074</v>
      </c>
      <c r="G18" s="8" t="s">
        <v>1075</v>
      </c>
      <c r="H18" s="6">
        <f t="shared" ref="H18:H21" si="4">IF(LEN(TRIM(SUBSTITUTE(D18,CHAR(10)," ")))=0,0,LEN(TRIM(SUBSTITUTE(D18,CHAR(10)," ")))-LEN(SUBSTITUTE(TRIM(SUBSTITUTE(D18,CHAR(10)," "))," ",""))+1)+IF(LEN(TRIM(SUBSTITUTE(E18,CHAR(10)," ")))=0,0,LEN(TRIM(SUBSTITUTE(E18,CHAR(10)," ")))-LEN(SUBSTITUTE(TRIM(SUBSTITUTE(E18,CHAR(10)," "))," ",""))+1)+IF(LEN(TRIM(SUBSTITUTE(F18,CHAR(10)," ")))=0,0,LEN(TRIM(SUBSTITUTE(F18,CHAR(10)," ")))-LEN(SUBSTITUTE(TRIM(SUBSTITUTE(F18,CHAR(10)," "))," ",""))+1)+IF(LEN(TRIM(SUBSTITUTE(G18,CHAR(10)," ")))=0,0,LEN(TRIM(SUBSTITUTE(G18,CHAR(10)," ")))-LEN(SUBSTITUTE(TRIM(SUBSTITUTE(G18,CHAR(10)," "))," ",""))+1)</f>
        <v>47</v>
      </c>
      <c r="I18" s="6" t="str">
        <f t="shared" si="2"/>
        <v>Ready</v>
      </c>
      <c r="J18" s="8" t="s">
        <v>966</v>
      </c>
    </row>
    <row r="19" ht="40.5" customHeight="1">
      <c r="A19" s="8" t="s">
        <v>587</v>
      </c>
      <c r="B19" s="8" t="s">
        <v>611</v>
      </c>
      <c r="C19" s="8">
        <v>2.0</v>
      </c>
      <c r="D19" s="3" t="s">
        <v>1117</v>
      </c>
      <c r="E19" s="8" t="s">
        <v>1118</v>
      </c>
      <c r="F19" s="8" t="s">
        <v>1119</v>
      </c>
      <c r="G19" s="8" t="s">
        <v>1120</v>
      </c>
      <c r="H19" s="6">
        <f t="shared" si="4"/>
        <v>38</v>
      </c>
      <c r="I19" s="6" t="str">
        <f t="shared" si="2"/>
        <v>Ready</v>
      </c>
      <c r="J19" s="8"/>
    </row>
    <row r="20" ht="53.25" customHeight="1">
      <c r="A20" s="8" t="s">
        <v>587</v>
      </c>
      <c r="B20" s="8" t="s">
        <v>611</v>
      </c>
      <c r="C20" s="8">
        <v>3.0</v>
      </c>
      <c r="D20" s="3" t="s">
        <v>1123</v>
      </c>
      <c r="E20" s="8" t="s">
        <v>1125</v>
      </c>
      <c r="F20" s="8" t="s">
        <v>1127</v>
      </c>
      <c r="G20" s="8" t="s">
        <v>1128</v>
      </c>
      <c r="H20" s="6">
        <f t="shared" si="4"/>
        <v>70</v>
      </c>
      <c r="I20" s="6" t="str">
        <f t="shared" si="2"/>
        <v>Ready</v>
      </c>
      <c r="J20" s="8"/>
    </row>
    <row r="21" ht="27.75" customHeight="1">
      <c r="A21" s="8" t="s">
        <v>587</v>
      </c>
      <c r="B21" s="8" t="s">
        <v>611</v>
      </c>
      <c r="C21" s="8">
        <v>4.0</v>
      </c>
      <c r="D21" s="3" t="s">
        <v>1131</v>
      </c>
      <c r="E21" s="8" t="s">
        <v>1132</v>
      </c>
      <c r="F21" s="8" t="s">
        <v>1133</v>
      </c>
      <c r="G21" s="8" t="s">
        <v>1134</v>
      </c>
      <c r="H21" s="6">
        <f t="shared" si="4"/>
        <v>40</v>
      </c>
      <c r="I21" s="6" t="str">
        <f t="shared" si="2"/>
        <v>Ready</v>
      </c>
      <c r="J21" s="8"/>
    </row>
    <row r="22" ht="27.75" customHeight="1">
      <c r="A22" s="8" t="s">
        <v>587</v>
      </c>
      <c r="B22" s="8" t="s">
        <v>627</v>
      </c>
      <c r="C22" s="8">
        <v>1.0</v>
      </c>
      <c r="D22" s="3" t="s">
        <v>1010</v>
      </c>
      <c r="E22" s="8" t="s">
        <v>1011</v>
      </c>
      <c r="F22" s="8" t="s">
        <v>1138</v>
      </c>
      <c r="G22" s="8" t="s">
        <v>1013</v>
      </c>
      <c r="H22" s="6">
        <f t="shared" ref="H22:H28" si="5">IF(LEN(TRIM(SUBSTITUTE(D22,CHAR(10)," ")))=0,0,LEN(TRIM(SUBSTITUTE(D22,CHAR(10)," ")))-LEN(SUBSTITUTE(TRIM(SUBSTITUTE(D22,CHAR(10)," "))," ",""))+1)+IF(LEN(TRIM(SUBSTITUTE(F22,CHAR(10)," ")))=0,0,LEN(TRIM(SUBSTITUTE(F22,CHAR(10)," ")))-LEN(SUBSTITUTE(TRIM(SUBSTITUTE(F22,CHAR(10)," "))," ",""))+1)</f>
        <v>10</v>
      </c>
      <c r="I22" s="6" t="str">
        <f t="shared" si="2"/>
        <v>CONFIRM</v>
      </c>
      <c r="J22" s="8" t="s">
        <v>1155</v>
      </c>
    </row>
    <row r="23" ht="15.0" customHeight="1">
      <c r="A23" s="8" t="s">
        <v>587</v>
      </c>
      <c r="B23" s="8" t="s">
        <v>627</v>
      </c>
      <c r="C23" s="8">
        <v>2.0</v>
      </c>
      <c r="D23" s="3" t="s">
        <v>1034</v>
      </c>
      <c r="E23" s="8" t="s">
        <v>1035</v>
      </c>
      <c r="F23" s="8" t="s">
        <v>1163</v>
      </c>
      <c r="G23" s="8" t="s">
        <v>1037</v>
      </c>
      <c r="H23" s="6">
        <f t="shared" si="5"/>
        <v>11</v>
      </c>
      <c r="I23" s="6" t="str">
        <f t="shared" si="2"/>
        <v>Ready</v>
      </c>
      <c r="J23" s="8"/>
    </row>
    <row r="24" ht="27.75" customHeight="1">
      <c r="A24" s="8" t="s">
        <v>587</v>
      </c>
      <c r="B24" s="8" t="s">
        <v>627</v>
      </c>
      <c r="C24" s="8">
        <v>3.0</v>
      </c>
      <c r="D24" s="3" t="s">
        <v>1040</v>
      </c>
      <c r="E24" s="8" t="s">
        <v>1041</v>
      </c>
      <c r="F24" s="8" t="s">
        <v>1180</v>
      </c>
      <c r="G24" s="8" t="s">
        <v>1013</v>
      </c>
      <c r="H24" s="6">
        <f t="shared" si="5"/>
        <v>12</v>
      </c>
      <c r="I24" s="6" t="str">
        <f t="shared" si="2"/>
        <v>CONFIRM</v>
      </c>
      <c r="J24" s="8"/>
    </row>
    <row r="25" ht="27.75" customHeight="1">
      <c r="A25" s="8" t="s">
        <v>587</v>
      </c>
      <c r="B25" s="8" t="s">
        <v>627</v>
      </c>
      <c r="C25" s="8">
        <v>4.0</v>
      </c>
      <c r="D25" s="3" t="s">
        <v>1049</v>
      </c>
      <c r="E25" s="8" t="s">
        <v>1050</v>
      </c>
      <c r="F25" s="8" t="s">
        <v>1193</v>
      </c>
      <c r="G25" s="8" t="s">
        <v>1037</v>
      </c>
      <c r="H25" s="6">
        <f t="shared" si="5"/>
        <v>12</v>
      </c>
      <c r="I25" s="6" t="str">
        <f t="shared" si="2"/>
        <v>Ready</v>
      </c>
      <c r="J25" s="8"/>
    </row>
    <row r="26" ht="15.0" customHeight="1">
      <c r="A26" s="8" t="s">
        <v>587</v>
      </c>
      <c r="B26" s="8" t="s">
        <v>627</v>
      </c>
      <c r="C26" s="8">
        <v>5.0</v>
      </c>
      <c r="D26" s="3" t="s">
        <v>1055</v>
      </c>
      <c r="E26" s="8" t="s">
        <v>1056</v>
      </c>
      <c r="F26" s="8" t="s">
        <v>1205</v>
      </c>
      <c r="G26" s="8" t="s">
        <v>1013</v>
      </c>
      <c r="H26" s="6">
        <f t="shared" si="5"/>
        <v>8</v>
      </c>
      <c r="I26" s="6" t="str">
        <f t="shared" si="2"/>
        <v>CONFIRM</v>
      </c>
      <c r="J26" s="8"/>
    </row>
    <row r="27" ht="27.75" customHeight="1">
      <c r="A27" s="8" t="s">
        <v>587</v>
      </c>
      <c r="B27" s="8" t="s">
        <v>627</v>
      </c>
      <c r="C27" s="8">
        <v>6.0</v>
      </c>
      <c r="D27" s="3" t="s">
        <v>1060</v>
      </c>
      <c r="E27" s="8" t="s">
        <v>1061</v>
      </c>
      <c r="F27" s="8" t="s">
        <v>1218</v>
      </c>
      <c r="G27" s="8" t="s">
        <v>1013</v>
      </c>
      <c r="H27" s="6">
        <f t="shared" si="5"/>
        <v>8</v>
      </c>
      <c r="I27" s="6" t="str">
        <f t="shared" si="2"/>
        <v>CONFIRM</v>
      </c>
      <c r="J27" s="8"/>
    </row>
    <row r="28" ht="27.75" customHeight="1">
      <c r="A28" s="8" t="s">
        <v>587</v>
      </c>
      <c r="B28" s="8" t="s">
        <v>627</v>
      </c>
      <c r="C28" s="8">
        <v>7.0</v>
      </c>
      <c r="D28" s="3" t="s">
        <v>1065</v>
      </c>
      <c r="E28" s="8" t="s">
        <v>1066</v>
      </c>
      <c r="F28" s="8" t="s">
        <v>1230</v>
      </c>
      <c r="G28" s="8" t="s">
        <v>1013</v>
      </c>
      <c r="H28" s="6">
        <f t="shared" si="5"/>
        <v>11</v>
      </c>
      <c r="I28" s="6" t="str">
        <f t="shared" si="2"/>
        <v>CONFIRM</v>
      </c>
      <c r="J28" s="8"/>
    </row>
    <row r="29" ht="53.25" customHeight="1">
      <c r="A29" s="8" t="s">
        <v>687</v>
      </c>
      <c r="B29" s="8" t="s">
        <v>611</v>
      </c>
      <c r="C29" s="8">
        <v>1.0</v>
      </c>
      <c r="D29" s="3" t="s">
        <v>1241</v>
      </c>
      <c r="E29" s="8" t="s">
        <v>1242</v>
      </c>
      <c r="F29" s="8" t="s">
        <v>1244</v>
      </c>
      <c r="G29" s="8" t="s">
        <v>1246</v>
      </c>
      <c r="H29" s="6">
        <f t="shared" ref="H29:H32" si="6">IF(LEN(TRIM(SUBSTITUTE(D29,CHAR(10)," ")))=0,0,LEN(TRIM(SUBSTITUTE(D29,CHAR(10)," ")))-LEN(SUBSTITUTE(TRIM(SUBSTITUTE(D29,CHAR(10)," "))," ",""))+1)+IF(LEN(TRIM(SUBSTITUTE(E29,CHAR(10)," ")))=0,0,LEN(TRIM(SUBSTITUTE(E29,CHAR(10)," ")))-LEN(SUBSTITUTE(TRIM(SUBSTITUTE(E29,CHAR(10)," "))," ",""))+1)+IF(LEN(TRIM(SUBSTITUTE(F29,CHAR(10)," ")))=0,0,LEN(TRIM(SUBSTITUTE(F29,CHAR(10)," ")))-LEN(SUBSTITUTE(TRIM(SUBSTITUTE(F29,CHAR(10)," "))," ",""))+1)+IF(LEN(TRIM(SUBSTITUTE(G29,CHAR(10)," ")))=0,0,LEN(TRIM(SUBSTITUTE(G29,CHAR(10)," ")))-LEN(SUBSTITUTE(TRIM(SUBSTITUTE(G29,CHAR(10)," "))," ",""))+1)</f>
        <v>63</v>
      </c>
      <c r="I29" s="6" t="str">
        <f t="shared" si="2"/>
        <v>Ready</v>
      </c>
      <c r="J29" s="8" t="s">
        <v>966</v>
      </c>
    </row>
    <row r="30" ht="40.5" customHeight="1">
      <c r="A30" s="8" t="s">
        <v>687</v>
      </c>
      <c r="B30" s="8" t="s">
        <v>611</v>
      </c>
      <c r="C30" s="8">
        <v>2.0</v>
      </c>
      <c r="D30" s="3" t="s">
        <v>1341</v>
      </c>
      <c r="E30" s="8" t="s">
        <v>1342</v>
      </c>
      <c r="F30" s="8" t="s">
        <v>1343</v>
      </c>
      <c r="G30" s="8" t="s">
        <v>1344</v>
      </c>
      <c r="H30" s="6">
        <f t="shared" si="6"/>
        <v>45</v>
      </c>
      <c r="I30" s="6" t="str">
        <f t="shared" si="2"/>
        <v>CLIENT INPUT</v>
      </c>
      <c r="J30" s="8"/>
    </row>
    <row r="31" ht="40.5" customHeight="1">
      <c r="A31" s="8" t="s">
        <v>687</v>
      </c>
      <c r="B31" s="8" t="s">
        <v>611</v>
      </c>
      <c r="C31" s="8">
        <v>3.0</v>
      </c>
      <c r="D31" s="3" t="s">
        <v>1350</v>
      </c>
      <c r="E31" s="8" t="s">
        <v>1351</v>
      </c>
      <c r="F31" s="8" t="s">
        <v>1352</v>
      </c>
      <c r="G31" s="8" t="s">
        <v>1354</v>
      </c>
      <c r="H31" s="6">
        <f t="shared" si="6"/>
        <v>40</v>
      </c>
      <c r="I31" s="6" t="str">
        <f t="shared" si="2"/>
        <v>Ready</v>
      </c>
      <c r="J31" s="8"/>
    </row>
    <row r="32" ht="27.75" customHeight="1">
      <c r="A32" s="8" t="s">
        <v>687</v>
      </c>
      <c r="B32" s="8" t="s">
        <v>611</v>
      </c>
      <c r="C32" s="8">
        <v>4.0</v>
      </c>
      <c r="D32" s="3" t="s">
        <v>1131</v>
      </c>
      <c r="E32" s="8" t="s">
        <v>1362</v>
      </c>
      <c r="F32" s="8" t="s">
        <v>1363</v>
      </c>
      <c r="G32" s="8" t="s">
        <v>1365</v>
      </c>
      <c r="H32" s="6">
        <f t="shared" si="6"/>
        <v>31</v>
      </c>
      <c r="I32" s="6" t="str">
        <f t="shared" si="2"/>
        <v>Ready</v>
      </c>
      <c r="J32" s="8"/>
    </row>
    <row r="33" ht="27.75" customHeight="1">
      <c r="A33" s="8" t="s">
        <v>687</v>
      </c>
      <c r="B33" s="8" t="s">
        <v>627</v>
      </c>
      <c r="C33" s="8">
        <v>1.0</v>
      </c>
      <c r="D33" s="3" t="s">
        <v>1010</v>
      </c>
      <c r="E33" s="8" t="s">
        <v>1011</v>
      </c>
      <c r="F33" s="8" t="s">
        <v>1367</v>
      </c>
      <c r="G33" s="8" t="s">
        <v>1013</v>
      </c>
      <c r="H33" s="6">
        <f t="shared" ref="H33:H39" si="7">IF(LEN(TRIM(SUBSTITUTE(D33,CHAR(10)," ")))=0,0,LEN(TRIM(SUBSTITUTE(D33,CHAR(10)," ")))-LEN(SUBSTITUTE(TRIM(SUBSTITUTE(D33,CHAR(10)," "))," ",""))+1)+IF(LEN(TRIM(SUBSTITUTE(F33,CHAR(10)," ")))=0,0,LEN(TRIM(SUBSTITUTE(F33,CHAR(10)," ")))-LEN(SUBSTITUTE(TRIM(SUBSTITUTE(F33,CHAR(10)," "))," ",""))+1)</f>
        <v>12</v>
      </c>
      <c r="I33" s="6" t="str">
        <f t="shared" si="2"/>
        <v>CONFIRM</v>
      </c>
      <c r="J33" s="8" t="s">
        <v>1369</v>
      </c>
    </row>
    <row r="34" ht="15.0" customHeight="1">
      <c r="A34" s="8" t="s">
        <v>687</v>
      </c>
      <c r="B34" s="8" t="s">
        <v>627</v>
      </c>
      <c r="C34" s="8">
        <v>2.0</v>
      </c>
      <c r="D34" s="3" t="s">
        <v>1034</v>
      </c>
      <c r="E34" s="8" t="s">
        <v>1035</v>
      </c>
      <c r="F34" s="8" t="s">
        <v>1372</v>
      </c>
      <c r="G34" s="8" t="s">
        <v>1037</v>
      </c>
      <c r="H34" s="6">
        <f t="shared" si="7"/>
        <v>10</v>
      </c>
      <c r="I34" s="6" t="str">
        <f t="shared" si="2"/>
        <v>Ready</v>
      </c>
      <c r="J34" s="8"/>
    </row>
    <row r="35" ht="27.75" customHeight="1">
      <c r="A35" s="8" t="s">
        <v>687</v>
      </c>
      <c r="B35" s="8" t="s">
        <v>627</v>
      </c>
      <c r="C35" s="8">
        <v>3.0</v>
      </c>
      <c r="D35" s="3" t="s">
        <v>1040</v>
      </c>
      <c r="E35" s="8" t="s">
        <v>1041</v>
      </c>
      <c r="F35" s="8" t="s">
        <v>1375</v>
      </c>
      <c r="G35" s="8" t="s">
        <v>1013</v>
      </c>
      <c r="H35" s="6">
        <f t="shared" si="7"/>
        <v>12</v>
      </c>
      <c r="I35" s="6" t="str">
        <f t="shared" si="2"/>
        <v>CONFIRM</v>
      </c>
      <c r="J35" s="8"/>
    </row>
    <row r="36" ht="27.75" customHeight="1">
      <c r="A36" s="8" t="s">
        <v>687</v>
      </c>
      <c r="B36" s="8" t="s">
        <v>627</v>
      </c>
      <c r="C36" s="8">
        <v>4.0</v>
      </c>
      <c r="D36" s="3" t="s">
        <v>1049</v>
      </c>
      <c r="E36" s="8" t="s">
        <v>1050</v>
      </c>
      <c r="F36" s="8" t="s">
        <v>1378</v>
      </c>
      <c r="G36" s="8" t="s">
        <v>1037</v>
      </c>
      <c r="H36" s="6">
        <f t="shared" si="7"/>
        <v>13</v>
      </c>
      <c r="I36" s="6" t="str">
        <f t="shared" si="2"/>
        <v>Ready</v>
      </c>
      <c r="J36" s="8"/>
    </row>
    <row r="37" ht="15.0" customHeight="1">
      <c r="A37" s="8" t="s">
        <v>687</v>
      </c>
      <c r="B37" s="8" t="s">
        <v>627</v>
      </c>
      <c r="C37" s="8">
        <v>5.0</v>
      </c>
      <c r="D37" s="3" t="s">
        <v>1055</v>
      </c>
      <c r="E37" s="8" t="s">
        <v>1056</v>
      </c>
      <c r="F37" s="8" t="s">
        <v>1380</v>
      </c>
      <c r="G37" s="8" t="s">
        <v>1013</v>
      </c>
      <c r="H37" s="6">
        <f t="shared" si="7"/>
        <v>7</v>
      </c>
      <c r="I37" s="6" t="str">
        <f t="shared" si="2"/>
        <v>CONFIRM</v>
      </c>
      <c r="J37" s="8"/>
    </row>
    <row r="38" ht="15.0" customHeight="1">
      <c r="A38" s="8" t="s">
        <v>687</v>
      </c>
      <c r="B38" s="8" t="s">
        <v>627</v>
      </c>
      <c r="C38" s="8">
        <v>6.0</v>
      </c>
      <c r="D38" s="3" t="s">
        <v>1060</v>
      </c>
      <c r="E38" s="8" t="s">
        <v>1061</v>
      </c>
      <c r="F38" s="8" t="s">
        <v>1381</v>
      </c>
      <c r="G38" s="8" t="s">
        <v>1013</v>
      </c>
      <c r="H38" s="6">
        <f t="shared" si="7"/>
        <v>6</v>
      </c>
      <c r="I38" s="6" t="str">
        <f t="shared" si="2"/>
        <v>CONFIRM</v>
      </c>
      <c r="J38" s="8"/>
    </row>
    <row r="39" ht="27.75" customHeight="1">
      <c r="A39" s="8" t="s">
        <v>687</v>
      </c>
      <c r="B39" s="8" t="s">
        <v>627</v>
      </c>
      <c r="C39" s="8">
        <v>7.0</v>
      </c>
      <c r="D39" s="3" t="s">
        <v>1065</v>
      </c>
      <c r="E39" s="8" t="s">
        <v>1066</v>
      </c>
      <c r="F39" s="8" t="s">
        <v>1383</v>
      </c>
      <c r="G39" s="8" t="s">
        <v>1013</v>
      </c>
      <c r="H39" s="6">
        <f t="shared" si="7"/>
        <v>13</v>
      </c>
      <c r="I39" s="6" t="str">
        <f t="shared" si="2"/>
        <v>CONFIRM</v>
      </c>
      <c r="J39" s="8"/>
    </row>
    <row r="40" ht="53.25" customHeight="1">
      <c r="A40" s="8" t="s">
        <v>734</v>
      </c>
      <c r="B40" s="8" t="s">
        <v>611</v>
      </c>
      <c r="C40" s="8">
        <v>1.0</v>
      </c>
      <c r="D40" s="3" t="s">
        <v>1385</v>
      </c>
      <c r="E40" s="8" t="s">
        <v>1386</v>
      </c>
      <c r="F40" s="8" t="s">
        <v>1387</v>
      </c>
      <c r="G40" s="8" t="s">
        <v>1389</v>
      </c>
      <c r="H40" s="6">
        <f t="shared" ref="H40:H43" si="8">IF(LEN(TRIM(SUBSTITUTE(D40,CHAR(10)," ")))=0,0,LEN(TRIM(SUBSTITUTE(D40,CHAR(10)," ")))-LEN(SUBSTITUTE(TRIM(SUBSTITUTE(D40,CHAR(10)," "))," ",""))+1)+IF(LEN(TRIM(SUBSTITUTE(E40,CHAR(10)," ")))=0,0,LEN(TRIM(SUBSTITUTE(E40,CHAR(10)," ")))-LEN(SUBSTITUTE(TRIM(SUBSTITUTE(E40,CHAR(10)," "))," ",""))+1)+IF(LEN(TRIM(SUBSTITUTE(F40,CHAR(10)," ")))=0,0,LEN(TRIM(SUBSTITUTE(F40,CHAR(10)," ")))-LEN(SUBSTITUTE(TRIM(SUBSTITUTE(F40,CHAR(10)," "))," ",""))+1)+IF(LEN(TRIM(SUBSTITUTE(G40,CHAR(10)," ")))=0,0,LEN(TRIM(SUBSTITUTE(G40,CHAR(10)," ")))-LEN(SUBSTITUTE(TRIM(SUBSTITUTE(G40,CHAR(10)," "))," ",""))+1)</f>
        <v>73</v>
      </c>
      <c r="I40" s="6" t="str">
        <f t="shared" si="2"/>
        <v>Ready</v>
      </c>
      <c r="J40" s="8" t="s">
        <v>966</v>
      </c>
    </row>
    <row r="41" ht="40.5" customHeight="1">
      <c r="A41" s="8" t="s">
        <v>734</v>
      </c>
      <c r="B41" s="8" t="s">
        <v>611</v>
      </c>
      <c r="C41" s="8">
        <v>2.0</v>
      </c>
      <c r="D41" s="3" t="s">
        <v>1072</v>
      </c>
      <c r="E41" s="8" t="s">
        <v>1398</v>
      </c>
      <c r="F41" s="8" t="s">
        <v>1399</v>
      </c>
      <c r="G41" s="8" t="s">
        <v>1400</v>
      </c>
      <c r="H41" s="6">
        <f t="shared" si="8"/>
        <v>43</v>
      </c>
      <c r="I41" s="6" t="str">
        <f t="shared" si="2"/>
        <v>Ready</v>
      </c>
      <c r="J41" s="8"/>
    </row>
    <row r="42" ht="27.75" customHeight="1">
      <c r="A42" s="8" t="s">
        <v>734</v>
      </c>
      <c r="B42" s="8" t="s">
        <v>611</v>
      </c>
      <c r="C42" s="8">
        <v>3.0</v>
      </c>
      <c r="D42" s="3" t="s">
        <v>1405</v>
      </c>
      <c r="E42" s="8" t="s">
        <v>1406</v>
      </c>
      <c r="F42" s="8" t="s">
        <v>1407</v>
      </c>
      <c r="G42" s="8" t="s">
        <v>1408</v>
      </c>
      <c r="H42" s="6">
        <f t="shared" si="8"/>
        <v>28</v>
      </c>
      <c r="I42" s="6" t="str">
        <f t="shared" si="2"/>
        <v>Ready</v>
      </c>
      <c r="J42" s="8"/>
    </row>
    <row r="43" ht="27.75" customHeight="1">
      <c r="A43" s="8" t="s">
        <v>734</v>
      </c>
      <c r="B43" s="8" t="s">
        <v>611</v>
      </c>
      <c r="C43" s="8">
        <v>4.0</v>
      </c>
      <c r="D43" s="3" t="s">
        <v>1414</v>
      </c>
      <c r="E43" s="8" t="s">
        <v>1415</v>
      </c>
      <c r="F43" s="8" t="s">
        <v>1417</v>
      </c>
      <c r="G43" s="8" t="s">
        <v>1418</v>
      </c>
      <c r="H43" s="6">
        <f t="shared" si="8"/>
        <v>43</v>
      </c>
      <c r="I43" s="6" t="str">
        <f t="shared" si="2"/>
        <v>Ready</v>
      </c>
      <c r="J43" s="8"/>
    </row>
    <row r="44" ht="27.75" customHeight="1">
      <c r="A44" s="8" t="s">
        <v>734</v>
      </c>
      <c r="B44" s="8" t="s">
        <v>627</v>
      </c>
      <c r="C44" s="8">
        <v>1.0</v>
      </c>
      <c r="D44" s="3" t="s">
        <v>1010</v>
      </c>
      <c r="E44" s="8" t="s">
        <v>1011</v>
      </c>
      <c r="F44" s="8" t="s">
        <v>1430</v>
      </c>
      <c r="G44" s="8" t="s">
        <v>1013</v>
      </c>
      <c r="H44" s="6">
        <f t="shared" ref="H44:H50" si="9">IF(LEN(TRIM(SUBSTITUTE(D44,CHAR(10)," ")))=0,0,LEN(TRIM(SUBSTITUTE(D44,CHAR(10)," ")))-LEN(SUBSTITUTE(TRIM(SUBSTITUTE(D44,CHAR(10)," "))," ",""))+1)+IF(LEN(TRIM(SUBSTITUTE(F44,CHAR(10)," ")))=0,0,LEN(TRIM(SUBSTITUTE(F44,CHAR(10)," ")))-LEN(SUBSTITUTE(TRIM(SUBSTITUTE(F44,CHAR(10)," "))," ",""))+1)</f>
        <v>10</v>
      </c>
      <c r="I44" s="6" t="str">
        <f t="shared" si="2"/>
        <v>CONFIRM</v>
      </c>
      <c r="J44" s="8" t="s">
        <v>1443</v>
      </c>
    </row>
    <row r="45" ht="15.0" customHeight="1">
      <c r="A45" s="8" t="s">
        <v>734</v>
      </c>
      <c r="B45" s="8" t="s">
        <v>627</v>
      </c>
      <c r="C45" s="8">
        <v>2.0</v>
      </c>
      <c r="D45" s="3" t="s">
        <v>1034</v>
      </c>
      <c r="E45" s="8" t="s">
        <v>1035</v>
      </c>
      <c r="F45" s="8" t="s">
        <v>1444</v>
      </c>
      <c r="G45" s="8" t="s">
        <v>1037</v>
      </c>
      <c r="H45" s="6">
        <f t="shared" si="9"/>
        <v>9</v>
      </c>
      <c r="I45" s="6" t="str">
        <f t="shared" si="2"/>
        <v>Ready</v>
      </c>
      <c r="J45" s="8"/>
    </row>
    <row r="46" ht="27.75" customHeight="1">
      <c r="A46" s="8" t="s">
        <v>734</v>
      </c>
      <c r="B46" s="8" t="s">
        <v>627</v>
      </c>
      <c r="C46" s="8">
        <v>3.0</v>
      </c>
      <c r="D46" s="3" t="s">
        <v>1040</v>
      </c>
      <c r="E46" s="8" t="s">
        <v>1041</v>
      </c>
      <c r="F46" s="8" t="s">
        <v>1445</v>
      </c>
      <c r="G46" s="8" t="s">
        <v>1013</v>
      </c>
      <c r="H46" s="6">
        <f t="shared" si="9"/>
        <v>12</v>
      </c>
      <c r="I46" s="6" t="str">
        <f t="shared" si="2"/>
        <v>CONFIRM</v>
      </c>
      <c r="J46" s="8"/>
    </row>
    <row r="47" ht="15.0" customHeight="1">
      <c r="A47" s="8" t="s">
        <v>734</v>
      </c>
      <c r="B47" s="8" t="s">
        <v>627</v>
      </c>
      <c r="C47" s="8">
        <v>4.0</v>
      </c>
      <c r="D47" s="3" t="s">
        <v>1049</v>
      </c>
      <c r="E47" s="8" t="s">
        <v>1050</v>
      </c>
      <c r="F47" s="8" t="s">
        <v>1447</v>
      </c>
      <c r="G47" s="8" t="s">
        <v>1037</v>
      </c>
      <c r="H47" s="6">
        <f t="shared" si="9"/>
        <v>10</v>
      </c>
      <c r="I47" s="6" t="str">
        <f t="shared" si="2"/>
        <v>Ready</v>
      </c>
      <c r="J47" s="8"/>
    </row>
    <row r="48" ht="15.0" customHeight="1">
      <c r="A48" s="8" t="s">
        <v>734</v>
      </c>
      <c r="B48" s="8" t="s">
        <v>627</v>
      </c>
      <c r="C48" s="8">
        <v>5.0</v>
      </c>
      <c r="D48" s="3" t="s">
        <v>1055</v>
      </c>
      <c r="E48" s="8" t="s">
        <v>1056</v>
      </c>
      <c r="F48" s="8" t="s">
        <v>1450</v>
      </c>
      <c r="G48" s="8" t="s">
        <v>1013</v>
      </c>
      <c r="H48" s="6">
        <f t="shared" si="9"/>
        <v>7</v>
      </c>
      <c r="I48" s="6" t="str">
        <f t="shared" si="2"/>
        <v>CONFIRM</v>
      </c>
      <c r="J48" s="8"/>
    </row>
    <row r="49" ht="27.75" customHeight="1">
      <c r="A49" s="8" t="s">
        <v>734</v>
      </c>
      <c r="B49" s="8" t="s">
        <v>627</v>
      </c>
      <c r="C49" s="8">
        <v>6.0</v>
      </c>
      <c r="D49" s="3" t="s">
        <v>1060</v>
      </c>
      <c r="E49" s="8" t="s">
        <v>1061</v>
      </c>
      <c r="F49" s="8" t="s">
        <v>1451</v>
      </c>
      <c r="G49" s="8" t="s">
        <v>1013</v>
      </c>
      <c r="H49" s="6">
        <f t="shared" si="9"/>
        <v>8</v>
      </c>
      <c r="I49" s="6" t="str">
        <f t="shared" si="2"/>
        <v>CONFIRM</v>
      </c>
      <c r="J49" s="8"/>
    </row>
    <row r="50" ht="27.75" customHeight="1">
      <c r="A50" s="8" t="s">
        <v>734</v>
      </c>
      <c r="B50" s="8" t="s">
        <v>627</v>
      </c>
      <c r="C50" s="8">
        <v>7.0</v>
      </c>
      <c r="D50" s="3" t="s">
        <v>1065</v>
      </c>
      <c r="E50" s="8" t="s">
        <v>1066</v>
      </c>
      <c r="F50" s="8" t="s">
        <v>1452</v>
      </c>
      <c r="G50" s="8" t="s">
        <v>1013</v>
      </c>
      <c r="H50" s="6">
        <f t="shared" si="9"/>
        <v>13</v>
      </c>
      <c r="I50" s="6" t="str">
        <f t="shared" si="2"/>
        <v>CONFIRM</v>
      </c>
      <c r="J50" s="8"/>
    </row>
    <row r="51" ht="53.25" customHeight="1">
      <c r="A51" s="8" t="s">
        <v>776</v>
      </c>
      <c r="B51" s="8" t="s">
        <v>611</v>
      </c>
      <c r="C51" s="8">
        <v>1.0</v>
      </c>
      <c r="D51" s="3" t="s">
        <v>1453</v>
      </c>
      <c r="E51" s="8" t="s">
        <v>1454</v>
      </c>
      <c r="F51" s="8" t="s">
        <v>1455</v>
      </c>
      <c r="G51" s="8" t="s">
        <v>1456</v>
      </c>
      <c r="H51" s="6">
        <f t="shared" ref="H51:H54" si="10">IF(LEN(TRIM(SUBSTITUTE(D51,CHAR(10)," ")))=0,0,LEN(TRIM(SUBSTITUTE(D51,CHAR(10)," ")))-LEN(SUBSTITUTE(TRIM(SUBSTITUTE(D51,CHAR(10)," "))," ",""))+1)+IF(LEN(TRIM(SUBSTITUTE(E51,CHAR(10)," ")))=0,0,LEN(TRIM(SUBSTITUTE(E51,CHAR(10)," ")))-LEN(SUBSTITUTE(TRIM(SUBSTITUTE(E51,CHAR(10)," "))," ",""))+1)+IF(LEN(TRIM(SUBSTITUTE(F51,CHAR(10)," ")))=0,0,LEN(TRIM(SUBSTITUTE(F51,CHAR(10)," ")))-LEN(SUBSTITUTE(TRIM(SUBSTITUTE(F51,CHAR(10)," "))," ",""))+1)+IF(LEN(TRIM(SUBSTITUTE(G51,CHAR(10)," ")))=0,0,LEN(TRIM(SUBSTITUTE(G51,CHAR(10)," ")))-LEN(SUBSTITUTE(TRIM(SUBSTITUTE(G51,CHAR(10)," "))," ",""))+1)</f>
        <v>65</v>
      </c>
      <c r="I51" s="6" t="str">
        <f t="shared" si="2"/>
        <v>Ready</v>
      </c>
      <c r="J51" s="8" t="s">
        <v>966</v>
      </c>
    </row>
    <row r="52" ht="27.75" customHeight="1">
      <c r="A52" s="8" t="s">
        <v>776</v>
      </c>
      <c r="B52" s="8" t="s">
        <v>611</v>
      </c>
      <c r="C52" s="8">
        <v>2.0</v>
      </c>
      <c r="D52" s="3" t="s">
        <v>1488</v>
      </c>
      <c r="E52" s="8" t="s">
        <v>1489</v>
      </c>
      <c r="F52" s="8" t="s">
        <v>1490</v>
      </c>
      <c r="G52" s="8" t="s">
        <v>1491</v>
      </c>
      <c r="H52" s="6">
        <f t="shared" si="10"/>
        <v>29</v>
      </c>
      <c r="I52" s="6" t="str">
        <f t="shared" si="2"/>
        <v>Ready</v>
      </c>
      <c r="J52" s="8"/>
    </row>
    <row r="53" ht="40.5" customHeight="1">
      <c r="A53" s="8" t="s">
        <v>776</v>
      </c>
      <c r="B53" s="8" t="s">
        <v>611</v>
      </c>
      <c r="C53" s="8">
        <v>3.0</v>
      </c>
      <c r="D53" s="3" t="s">
        <v>1493</v>
      </c>
      <c r="E53" s="8" t="s">
        <v>1494</v>
      </c>
      <c r="F53" s="8" t="s">
        <v>1495</v>
      </c>
      <c r="G53" s="8" t="s">
        <v>1496</v>
      </c>
      <c r="H53" s="6">
        <f t="shared" si="10"/>
        <v>40</v>
      </c>
      <c r="I53" s="6" t="str">
        <f t="shared" si="2"/>
        <v>Ready</v>
      </c>
      <c r="J53" s="8"/>
    </row>
    <row r="54" ht="27.75" customHeight="1">
      <c r="A54" s="8" t="s">
        <v>776</v>
      </c>
      <c r="B54" s="8" t="s">
        <v>611</v>
      </c>
      <c r="C54" s="8">
        <v>4.0</v>
      </c>
      <c r="D54" s="3" t="s">
        <v>1500</v>
      </c>
      <c r="E54" s="8" t="s">
        <v>1501</v>
      </c>
      <c r="F54" s="8" t="s">
        <v>1502</v>
      </c>
      <c r="G54" s="8" t="s">
        <v>1503</v>
      </c>
      <c r="H54" s="6">
        <f t="shared" si="10"/>
        <v>34</v>
      </c>
      <c r="I54" s="6" t="str">
        <f t="shared" si="2"/>
        <v>Ready</v>
      </c>
      <c r="J54" s="8"/>
    </row>
    <row r="55" ht="27.75" customHeight="1">
      <c r="A55" s="8" t="s">
        <v>776</v>
      </c>
      <c r="B55" s="8" t="s">
        <v>627</v>
      </c>
      <c r="C55" s="8">
        <v>1.0</v>
      </c>
      <c r="D55" s="3" t="s">
        <v>1010</v>
      </c>
      <c r="E55" s="8" t="s">
        <v>1011</v>
      </c>
      <c r="F55" s="8" t="s">
        <v>1505</v>
      </c>
      <c r="G55" s="8" t="s">
        <v>1013</v>
      </c>
      <c r="H55" s="6">
        <f t="shared" ref="H55:H61" si="11">IF(LEN(TRIM(SUBSTITUTE(D55,CHAR(10)," ")))=0,0,LEN(TRIM(SUBSTITUTE(D55,CHAR(10)," ")))-LEN(SUBSTITUTE(TRIM(SUBSTITUTE(D55,CHAR(10)," "))," ",""))+1)+IF(LEN(TRIM(SUBSTITUTE(F55,CHAR(10)," ")))=0,0,LEN(TRIM(SUBSTITUTE(F55,CHAR(10)," ")))-LEN(SUBSTITUTE(TRIM(SUBSTITUTE(F55,CHAR(10)," "))," ",""))+1)</f>
        <v>11</v>
      </c>
      <c r="I55" s="6" t="str">
        <f t="shared" si="2"/>
        <v>CONFIRM</v>
      </c>
      <c r="J55" s="8" t="s">
        <v>1514</v>
      </c>
    </row>
    <row r="56" ht="27.75" customHeight="1">
      <c r="A56" s="8" t="s">
        <v>776</v>
      </c>
      <c r="B56" s="8" t="s">
        <v>627</v>
      </c>
      <c r="C56" s="8">
        <v>2.0</v>
      </c>
      <c r="D56" s="3" t="s">
        <v>1034</v>
      </c>
      <c r="E56" s="8" t="s">
        <v>1035</v>
      </c>
      <c r="F56" s="8" t="s">
        <v>1518</v>
      </c>
      <c r="G56" s="8" t="s">
        <v>1037</v>
      </c>
      <c r="H56" s="6">
        <f t="shared" si="11"/>
        <v>10</v>
      </c>
      <c r="I56" s="6" t="str">
        <f t="shared" si="2"/>
        <v>Ready</v>
      </c>
      <c r="J56" s="8"/>
    </row>
    <row r="57" ht="15.0" customHeight="1">
      <c r="A57" s="8" t="s">
        <v>776</v>
      </c>
      <c r="B57" s="8" t="s">
        <v>627</v>
      </c>
      <c r="C57" s="8">
        <v>3.0</v>
      </c>
      <c r="D57" s="3" t="s">
        <v>1040</v>
      </c>
      <c r="E57" s="8" t="s">
        <v>1041</v>
      </c>
      <c r="F57" s="8" t="s">
        <v>1520</v>
      </c>
      <c r="G57" s="8" t="s">
        <v>1013</v>
      </c>
      <c r="H57" s="6">
        <f t="shared" si="11"/>
        <v>12</v>
      </c>
      <c r="I57" s="6" t="str">
        <f t="shared" si="2"/>
        <v>CONFIRM</v>
      </c>
      <c r="J57" s="8"/>
    </row>
    <row r="58" ht="27.75" customHeight="1">
      <c r="A58" s="8" t="s">
        <v>776</v>
      </c>
      <c r="B58" s="8" t="s">
        <v>627</v>
      </c>
      <c r="C58" s="8">
        <v>4.0</v>
      </c>
      <c r="D58" s="3" t="s">
        <v>1049</v>
      </c>
      <c r="E58" s="8" t="s">
        <v>1050</v>
      </c>
      <c r="F58" s="8" t="s">
        <v>1523</v>
      </c>
      <c r="G58" s="8" t="s">
        <v>1037</v>
      </c>
      <c r="H58" s="6">
        <f t="shared" si="11"/>
        <v>12</v>
      </c>
      <c r="I58" s="6" t="str">
        <f t="shared" si="2"/>
        <v>Ready</v>
      </c>
      <c r="J58" s="8"/>
    </row>
    <row r="59" ht="15.0" customHeight="1">
      <c r="A59" s="8" t="s">
        <v>776</v>
      </c>
      <c r="B59" s="8" t="s">
        <v>627</v>
      </c>
      <c r="C59" s="8">
        <v>5.0</v>
      </c>
      <c r="D59" s="3" t="s">
        <v>1055</v>
      </c>
      <c r="E59" s="8" t="s">
        <v>1056</v>
      </c>
      <c r="F59" s="8" t="s">
        <v>1524</v>
      </c>
      <c r="G59" s="8" t="s">
        <v>1013</v>
      </c>
      <c r="H59" s="6">
        <f t="shared" si="11"/>
        <v>8</v>
      </c>
      <c r="I59" s="6" t="str">
        <f t="shared" si="2"/>
        <v>CONFIRM</v>
      </c>
      <c r="J59" s="8"/>
    </row>
    <row r="60" ht="15.0" customHeight="1">
      <c r="A60" s="8" t="s">
        <v>776</v>
      </c>
      <c r="B60" s="8" t="s">
        <v>627</v>
      </c>
      <c r="C60" s="8">
        <v>6.0</v>
      </c>
      <c r="D60" s="3" t="s">
        <v>1060</v>
      </c>
      <c r="E60" s="8" t="s">
        <v>1061</v>
      </c>
      <c r="F60" s="8" t="s">
        <v>1526</v>
      </c>
      <c r="G60" s="8" t="s">
        <v>1013</v>
      </c>
      <c r="H60" s="6">
        <f t="shared" si="11"/>
        <v>5</v>
      </c>
      <c r="I60" s="6" t="str">
        <f t="shared" si="2"/>
        <v>CONFIRM</v>
      </c>
      <c r="J60" s="8"/>
    </row>
    <row r="61" ht="15.0" customHeight="1">
      <c r="A61" s="8" t="s">
        <v>776</v>
      </c>
      <c r="B61" s="8" t="s">
        <v>627</v>
      </c>
      <c r="C61" s="8">
        <v>7.0</v>
      </c>
      <c r="D61" s="3" t="s">
        <v>1065</v>
      </c>
      <c r="E61" s="8" t="s">
        <v>1066</v>
      </c>
      <c r="F61" s="8" t="s">
        <v>1531</v>
      </c>
      <c r="G61" s="8" t="s">
        <v>1013</v>
      </c>
      <c r="H61" s="6">
        <f t="shared" si="11"/>
        <v>11</v>
      </c>
      <c r="I61" s="6" t="str">
        <f t="shared" si="2"/>
        <v>CONFIRM</v>
      </c>
      <c r="J61" s="8"/>
    </row>
    <row r="62" ht="40.5" customHeight="1">
      <c r="A62" s="8" t="s">
        <v>802</v>
      </c>
      <c r="B62" s="8" t="s">
        <v>611</v>
      </c>
      <c r="C62" s="8">
        <v>1.0</v>
      </c>
      <c r="D62" s="3" t="s">
        <v>1559</v>
      </c>
      <c r="E62" s="8" t="s">
        <v>1561</v>
      </c>
      <c r="F62" s="8" t="s">
        <v>1562</v>
      </c>
      <c r="G62" s="8" t="s">
        <v>1563</v>
      </c>
      <c r="H62" s="6">
        <f t="shared" ref="H62:H65" si="12">IF(LEN(TRIM(SUBSTITUTE(D62,CHAR(10)," ")))=0,0,LEN(TRIM(SUBSTITUTE(D62,CHAR(10)," ")))-LEN(SUBSTITUTE(TRIM(SUBSTITUTE(D62,CHAR(10)," "))," ",""))+1)+IF(LEN(TRIM(SUBSTITUTE(E62,CHAR(10)," ")))=0,0,LEN(TRIM(SUBSTITUTE(E62,CHAR(10)," ")))-LEN(SUBSTITUTE(TRIM(SUBSTITUTE(E62,CHAR(10)," "))," ",""))+1)+IF(LEN(TRIM(SUBSTITUTE(F62,CHAR(10)," ")))=0,0,LEN(TRIM(SUBSTITUTE(F62,CHAR(10)," ")))-LEN(SUBSTITUTE(TRIM(SUBSTITUTE(F62,CHAR(10)," "))," ",""))+1)+IF(LEN(TRIM(SUBSTITUTE(G62,CHAR(10)," ")))=0,0,LEN(TRIM(SUBSTITUTE(G62,CHAR(10)," ")))-LEN(SUBSTITUTE(TRIM(SUBSTITUTE(G62,CHAR(10)," "))," ",""))+1)</f>
        <v>38</v>
      </c>
      <c r="I62" s="6" t="str">
        <f t="shared" si="2"/>
        <v>Ready</v>
      </c>
      <c r="J62" s="8" t="s">
        <v>966</v>
      </c>
    </row>
    <row r="63" ht="40.5" customHeight="1">
      <c r="A63" s="8" t="s">
        <v>802</v>
      </c>
      <c r="B63" s="8" t="s">
        <v>611</v>
      </c>
      <c r="C63" s="8">
        <v>2.0</v>
      </c>
      <c r="D63" s="3" t="s">
        <v>1594</v>
      </c>
      <c r="E63" s="8" t="s">
        <v>1595</v>
      </c>
      <c r="F63" s="8" t="s">
        <v>1596</v>
      </c>
      <c r="G63" s="8" t="s">
        <v>1598</v>
      </c>
      <c r="H63" s="6">
        <f t="shared" si="12"/>
        <v>42</v>
      </c>
      <c r="I63" s="6" t="str">
        <f t="shared" si="2"/>
        <v>Ready</v>
      </c>
      <c r="J63" s="8"/>
    </row>
    <row r="64" ht="40.5" customHeight="1">
      <c r="A64" s="8" t="s">
        <v>802</v>
      </c>
      <c r="B64" s="8" t="s">
        <v>611</v>
      </c>
      <c r="C64" s="8">
        <v>3.0</v>
      </c>
      <c r="D64" s="3" t="s">
        <v>1602</v>
      </c>
      <c r="E64" s="8" t="s">
        <v>1603</v>
      </c>
      <c r="F64" s="8" t="s">
        <v>1604</v>
      </c>
      <c r="G64" s="8" t="s">
        <v>1605</v>
      </c>
      <c r="H64" s="6">
        <f t="shared" si="12"/>
        <v>40</v>
      </c>
      <c r="I64" s="6" t="str">
        <f t="shared" si="2"/>
        <v>Ready</v>
      </c>
      <c r="J64" s="8"/>
    </row>
    <row r="65" ht="27.75" customHeight="1">
      <c r="A65" s="8" t="s">
        <v>802</v>
      </c>
      <c r="B65" s="8" t="s">
        <v>611</v>
      </c>
      <c r="C65" s="8">
        <v>4.0</v>
      </c>
      <c r="D65" s="3" t="s">
        <v>1608</v>
      </c>
      <c r="E65" s="8" t="s">
        <v>1609</v>
      </c>
      <c r="F65" s="8" t="s">
        <v>1610</v>
      </c>
      <c r="G65" s="8" t="s">
        <v>1611</v>
      </c>
      <c r="H65" s="6">
        <f t="shared" si="12"/>
        <v>24</v>
      </c>
      <c r="I65" s="6" t="str">
        <f t="shared" si="2"/>
        <v>Ready</v>
      </c>
      <c r="J65" s="8"/>
    </row>
    <row r="66" ht="40.5" customHeight="1">
      <c r="A66" s="8" t="s">
        <v>802</v>
      </c>
      <c r="B66" s="8" t="s">
        <v>627</v>
      </c>
      <c r="C66" s="8">
        <v>1.0</v>
      </c>
      <c r="D66" s="3" t="s">
        <v>1010</v>
      </c>
      <c r="E66" s="8" t="s">
        <v>1011</v>
      </c>
      <c r="F66" s="8" t="s">
        <v>1612</v>
      </c>
      <c r="G66" s="8" t="s">
        <v>1013</v>
      </c>
      <c r="H66" s="6">
        <f t="shared" ref="H66:H72" si="13">IF(LEN(TRIM(SUBSTITUTE(D66,CHAR(10)," ")))=0,0,LEN(TRIM(SUBSTITUTE(D66,CHAR(10)," ")))-LEN(SUBSTITUTE(TRIM(SUBSTITUTE(D66,CHAR(10)," "))," ",""))+1)+IF(LEN(TRIM(SUBSTITUTE(F66,CHAR(10)," ")))=0,0,LEN(TRIM(SUBSTITUTE(F66,CHAR(10)," ")))-LEN(SUBSTITUTE(TRIM(SUBSTITUTE(F66,CHAR(10)," "))," ",""))+1)</f>
        <v>8</v>
      </c>
      <c r="I66" s="6" t="str">
        <f t="shared" si="2"/>
        <v>CONFIRM</v>
      </c>
      <c r="J66" s="8" t="s">
        <v>1614</v>
      </c>
    </row>
    <row r="67" ht="15.0" customHeight="1">
      <c r="A67" s="8" t="s">
        <v>802</v>
      </c>
      <c r="B67" s="8" t="s">
        <v>627</v>
      </c>
      <c r="C67" s="8">
        <v>2.0</v>
      </c>
      <c r="D67" s="3" t="s">
        <v>1034</v>
      </c>
      <c r="E67" s="8" t="s">
        <v>1035</v>
      </c>
      <c r="F67" s="8" t="s">
        <v>1618</v>
      </c>
      <c r="G67" s="8" t="s">
        <v>1037</v>
      </c>
      <c r="H67" s="6">
        <f t="shared" si="13"/>
        <v>9</v>
      </c>
      <c r="I67" s="6" t="str">
        <f t="shared" si="2"/>
        <v>Ready</v>
      </c>
      <c r="J67" s="8"/>
    </row>
    <row r="68" ht="15.0" customHeight="1">
      <c r="A68" s="8" t="s">
        <v>802</v>
      </c>
      <c r="B68" s="8" t="s">
        <v>627</v>
      </c>
      <c r="C68" s="8">
        <v>3.0</v>
      </c>
      <c r="D68" s="3" t="s">
        <v>1040</v>
      </c>
      <c r="E68" s="8" t="s">
        <v>1041</v>
      </c>
      <c r="F68" s="8" t="s">
        <v>1620</v>
      </c>
      <c r="G68" s="8" t="s">
        <v>1013</v>
      </c>
      <c r="H68" s="6">
        <f t="shared" si="13"/>
        <v>10</v>
      </c>
      <c r="I68" s="6" t="str">
        <f t="shared" si="2"/>
        <v>CONFIRM</v>
      </c>
      <c r="J68" s="8"/>
    </row>
    <row r="69" ht="27.75" customHeight="1">
      <c r="A69" s="8" t="s">
        <v>802</v>
      </c>
      <c r="B69" s="8" t="s">
        <v>627</v>
      </c>
      <c r="C69" s="8">
        <v>4.0</v>
      </c>
      <c r="D69" s="3" t="s">
        <v>1049</v>
      </c>
      <c r="E69" s="8" t="s">
        <v>1050</v>
      </c>
      <c r="F69" s="8" t="s">
        <v>1622</v>
      </c>
      <c r="G69" s="8" t="s">
        <v>1037</v>
      </c>
      <c r="H69" s="6">
        <f t="shared" si="13"/>
        <v>12</v>
      </c>
      <c r="I69" s="6" t="str">
        <f t="shared" si="2"/>
        <v>Ready</v>
      </c>
      <c r="J69" s="8"/>
    </row>
    <row r="70" ht="15.0" customHeight="1">
      <c r="A70" s="8" t="s">
        <v>802</v>
      </c>
      <c r="B70" s="8" t="s">
        <v>627</v>
      </c>
      <c r="C70" s="8">
        <v>5.0</v>
      </c>
      <c r="D70" s="3" t="s">
        <v>1055</v>
      </c>
      <c r="E70" s="8" t="s">
        <v>1056</v>
      </c>
      <c r="F70" s="8" t="s">
        <v>1630</v>
      </c>
      <c r="G70" s="8" t="s">
        <v>1013</v>
      </c>
      <c r="H70" s="6">
        <f t="shared" si="13"/>
        <v>5</v>
      </c>
      <c r="I70" s="6" t="str">
        <f t="shared" si="2"/>
        <v>CONFIRM</v>
      </c>
      <c r="J70" s="8"/>
    </row>
    <row r="71" ht="15.0" customHeight="1">
      <c r="A71" s="8" t="s">
        <v>802</v>
      </c>
      <c r="B71" s="8" t="s">
        <v>627</v>
      </c>
      <c r="C71" s="8">
        <v>6.0</v>
      </c>
      <c r="D71" s="3" t="s">
        <v>1060</v>
      </c>
      <c r="E71" s="8" t="s">
        <v>1061</v>
      </c>
      <c r="F71" s="8" t="s">
        <v>1634</v>
      </c>
      <c r="G71" s="8" t="s">
        <v>1013</v>
      </c>
      <c r="H71" s="6">
        <f t="shared" si="13"/>
        <v>5</v>
      </c>
      <c r="I71" s="6" t="str">
        <f t="shared" si="2"/>
        <v>CONFIRM</v>
      </c>
      <c r="J71" s="8"/>
    </row>
    <row r="72" ht="15.0" customHeight="1">
      <c r="A72" s="8" t="s">
        <v>802</v>
      </c>
      <c r="B72" s="8" t="s">
        <v>627</v>
      </c>
      <c r="C72" s="8">
        <v>7.0</v>
      </c>
      <c r="D72" s="3" t="s">
        <v>1065</v>
      </c>
      <c r="E72" s="8" t="s">
        <v>1066</v>
      </c>
      <c r="F72" s="8" t="s">
        <v>1637</v>
      </c>
      <c r="G72" s="8" t="s">
        <v>1013</v>
      </c>
      <c r="H72" s="6">
        <f t="shared" si="13"/>
        <v>11</v>
      </c>
      <c r="I72" s="6" t="str">
        <f t="shared" si="2"/>
        <v>CONFIRM</v>
      </c>
      <c r="J72" s="8"/>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5:G72">
    <cfRule type="expression" dxfId="3" priority="1">
      <formula>OR(ISNUMBER(FIND("[CLIENT",D5)),ISNUMBER(FIND("[CONFIRM",D5)),ISNUMBER(FIND("[DEV",D5)))</formula>
    </cfRule>
  </conditionalFormatting>
  <conditionalFormatting sqref="I5:I72">
    <cfRule type="expression" dxfId="0" priority="2">
      <formula>I5="Ready"</formula>
    </cfRule>
  </conditionalFormatting>
  <conditionalFormatting sqref="I5:I72">
    <cfRule type="expression" dxfId="2" priority="3">
      <formula>AND(I5&lt;&gt;"",NOT(I5="Ready"))</formula>
    </cfRule>
  </conditionalFormatting>
  <printOptions/>
  <pageMargins bottom="1.0" footer="0.0" header="0.0" left="0.75" right="0.75" top="1.0"/>
  <pageSetup fitToHeight="0" paperSize="9"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12.0"/>
    <col customWidth="1" min="2" max="2" width="26.0"/>
    <col customWidth="1" min="3" max="3" width="4.0"/>
    <col customWidth="1" min="4" max="4" width="50.0"/>
    <col customWidth="1" min="5" max="5" width="90.0"/>
    <col customWidth="1" min="6" max="6" width="7.0"/>
    <col customWidth="1" min="7" max="7" width="13.0"/>
    <col customWidth="1" min="8" max="8" width="11.0"/>
    <col customWidth="1" min="9" max="9" width="20.0"/>
    <col customWidth="1" min="10" max="26" width="8.71"/>
  </cols>
  <sheetData>
    <row r="1" ht="21.75" customHeight="1">
      <c r="A1" s="1" t="s">
        <v>956</v>
      </c>
    </row>
    <row r="2">
      <c r="A2" s="2" t="s">
        <v>957</v>
      </c>
    </row>
    <row r="4" ht="30.0" customHeight="1">
      <c r="A4" s="4" t="s">
        <v>439</v>
      </c>
      <c r="B4" s="4" t="s">
        <v>790</v>
      </c>
      <c r="C4" s="4" t="s">
        <v>9</v>
      </c>
      <c r="D4" s="4" t="s">
        <v>958</v>
      </c>
      <c r="E4" s="4" t="s">
        <v>959</v>
      </c>
      <c r="F4" s="4" t="s">
        <v>571</v>
      </c>
      <c r="G4" s="4" t="s">
        <v>796</v>
      </c>
      <c r="H4" s="4" t="s">
        <v>960</v>
      </c>
      <c r="I4" s="4" t="s">
        <v>440</v>
      </c>
    </row>
    <row r="5" ht="40.5" customHeight="1">
      <c r="A5" s="8" t="s">
        <v>475</v>
      </c>
      <c r="B5" s="8" t="s">
        <v>42</v>
      </c>
      <c r="C5" s="6">
        <v>1.0</v>
      </c>
      <c r="D5" s="3" t="s">
        <v>962</v>
      </c>
      <c r="E5" s="8" t="s">
        <v>963</v>
      </c>
      <c r="F5" s="6">
        <f t="shared" ref="F5:F50" si="1">IF(LEN(TRIM(SUBSTITUTE(D5,CHAR(10)," ")))=0,0,LEN(TRIM(SUBSTITUTE(D5,CHAR(10)," ")))-LEN(SUBSTITUTE(TRIM(SUBSTITUTE(D5,CHAR(10)," "))," ",""))+1)+IF(LEN(TRIM(SUBSTITUTE(E5,CHAR(10)," ")))=0,0,LEN(TRIM(SUBSTITUTE(E5,CHAR(10)," ")))-LEN(SUBSTITUTE(TRIM(SUBSTITUTE(E5,CHAR(10)," "))," ",""))+1)</f>
        <v>60</v>
      </c>
      <c r="G5" s="6" t="str">
        <f t="shared" ref="G5:G50" si="2">IF(ISNUMBER(FIND("[CLIENT",D5&amp;E5)),"CLIENT INPUT",IF(ISNUMBER(FIND("[CONFIRM",D5&amp;E5)),"CONFIRM",IF(ISNUMBER(FIND("[DEV",D5&amp;E5)),"DEV NOTE","Ready")))</f>
        <v>CLIENT INPUT</v>
      </c>
      <c r="H5" s="6" t="s">
        <v>972</v>
      </c>
      <c r="I5" s="8"/>
    </row>
    <row r="6" ht="40.5" customHeight="1">
      <c r="A6" s="8" t="s">
        <v>475</v>
      </c>
      <c r="B6" s="8" t="s">
        <v>42</v>
      </c>
      <c r="C6" s="6">
        <v>2.0</v>
      </c>
      <c r="D6" s="3" t="s">
        <v>976</v>
      </c>
      <c r="E6" s="8" t="s">
        <v>978</v>
      </c>
      <c r="F6" s="6">
        <f t="shared" si="1"/>
        <v>41</v>
      </c>
      <c r="G6" s="6" t="str">
        <f t="shared" si="2"/>
        <v>CLIENT INPUT</v>
      </c>
      <c r="H6" s="6" t="s">
        <v>972</v>
      </c>
      <c r="I6" s="8"/>
    </row>
    <row r="7" ht="53.25" customHeight="1">
      <c r="A7" s="8" t="s">
        <v>475</v>
      </c>
      <c r="B7" s="8" t="s">
        <v>42</v>
      </c>
      <c r="C7" s="6">
        <v>3.0</v>
      </c>
      <c r="D7" s="3" t="s">
        <v>983</v>
      </c>
      <c r="E7" s="8" t="s">
        <v>986</v>
      </c>
      <c r="F7" s="6">
        <f t="shared" si="1"/>
        <v>70</v>
      </c>
      <c r="G7" s="6" t="str">
        <f t="shared" si="2"/>
        <v>CLIENT INPUT</v>
      </c>
      <c r="H7" s="6" t="s">
        <v>972</v>
      </c>
      <c r="I7" s="8"/>
    </row>
    <row r="8" ht="53.25" customHeight="1">
      <c r="A8" s="8" t="s">
        <v>475</v>
      </c>
      <c r="B8" s="8" t="s">
        <v>42</v>
      </c>
      <c r="C8" s="6">
        <v>4.0</v>
      </c>
      <c r="D8" s="3" t="s">
        <v>993</v>
      </c>
      <c r="E8" s="8" t="s">
        <v>994</v>
      </c>
      <c r="F8" s="6">
        <f t="shared" si="1"/>
        <v>77</v>
      </c>
      <c r="G8" s="6" t="str">
        <f t="shared" si="2"/>
        <v>Ready</v>
      </c>
      <c r="H8" s="6" t="s">
        <v>972</v>
      </c>
      <c r="I8" s="8"/>
    </row>
    <row r="9" ht="27.75" customHeight="1">
      <c r="A9" s="8" t="s">
        <v>475</v>
      </c>
      <c r="B9" s="8" t="s">
        <v>42</v>
      </c>
      <c r="C9" s="6">
        <v>5.0</v>
      </c>
      <c r="D9" s="3" t="s">
        <v>995</v>
      </c>
      <c r="E9" s="8" t="s">
        <v>998</v>
      </c>
      <c r="F9" s="6">
        <f t="shared" si="1"/>
        <v>34</v>
      </c>
      <c r="G9" s="6" t="str">
        <f t="shared" si="2"/>
        <v>CONFIRM</v>
      </c>
      <c r="H9" s="6" t="s">
        <v>972</v>
      </c>
      <c r="I9" s="8"/>
    </row>
    <row r="10" ht="27.75" customHeight="1">
      <c r="A10" s="8" t="s">
        <v>475</v>
      </c>
      <c r="B10" s="8" t="s">
        <v>42</v>
      </c>
      <c r="C10" s="6">
        <v>6.0</v>
      </c>
      <c r="D10" s="3" t="s">
        <v>1004</v>
      </c>
      <c r="E10" s="8" t="s">
        <v>1005</v>
      </c>
      <c r="F10" s="6">
        <f t="shared" si="1"/>
        <v>39</v>
      </c>
      <c r="G10" s="6" t="str">
        <f t="shared" si="2"/>
        <v>Ready</v>
      </c>
      <c r="H10" s="6" t="s">
        <v>972</v>
      </c>
      <c r="I10" s="8"/>
    </row>
    <row r="11" ht="40.5" customHeight="1">
      <c r="A11" s="8" t="s">
        <v>475</v>
      </c>
      <c r="B11" s="8" t="s">
        <v>42</v>
      </c>
      <c r="C11" s="6">
        <v>7.0</v>
      </c>
      <c r="D11" s="3" t="s">
        <v>1006</v>
      </c>
      <c r="E11" s="8" t="s">
        <v>1007</v>
      </c>
      <c r="F11" s="6">
        <f t="shared" si="1"/>
        <v>43</v>
      </c>
      <c r="G11" s="6" t="str">
        <f t="shared" si="2"/>
        <v>Ready</v>
      </c>
      <c r="H11" s="6" t="s">
        <v>972</v>
      </c>
      <c r="I11" s="8"/>
    </row>
    <row r="12" ht="27.75" customHeight="1">
      <c r="A12" s="8" t="s">
        <v>587</v>
      </c>
      <c r="B12" s="8" t="s">
        <v>75</v>
      </c>
      <c r="C12" s="6">
        <v>1.0</v>
      </c>
      <c r="D12" s="3" t="s">
        <v>1014</v>
      </c>
      <c r="E12" s="8" t="s">
        <v>1015</v>
      </c>
      <c r="F12" s="6">
        <f t="shared" si="1"/>
        <v>42</v>
      </c>
      <c r="G12" s="6" t="str">
        <f t="shared" si="2"/>
        <v>Ready</v>
      </c>
      <c r="H12" s="6" t="s">
        <v>972</v>
      </c>
      <c r="I12" s="8"/>
    </row>
    <row r="13" ht="40.5" customHeight="1">
      <c r="A13" s="8" t="s">
        <v>587</v>
      </c>
      <c r="B13" s="8" t="s">
        <v>75</v>
      </c>
      <c r="C13" s="6">
        <v>2.0</v>
      </c>
      <c r="D13" s="3" t="s">
        <v>1019</v>
      </c>
      <c r="E13" s="8" t="s">
        <v>1021</v>
      </c>
      <c r="F13" s="6">
        <f t="shared" si="1"/>
        <v>48</v>
      </c>
      <c r="G13" s="6" t="str">
        <f t="shared" si="2"/>
        <v>CONFIRM</v>
      </c>
      <c r="H13" s="6" t="s">
        <v>972</v>
      </c>
      <c r="I13" s="8"/>
    </row>
    <row r="14" ht="27.75" customHeight="1">
      <c r="A14" s="8" t="s">
        <v>587</v>
      </c>
      <c r="B14" s="8" t="s">
        <v>75</v>
      </c>
      <c r="C14" s="6">
        <v>3.0</v>
      </c>
      <c r="D14" s="3" t="s">
        <v>1022</v>
      </c>
      <c r="E14" s="8" t="s">
        <v>1023</v>
      </c>
      <c r="F14" s="6">
        <f t="shared" si="1"/>
        <v>38</v>
      </c>
      <c r="G14" s="6" t="str">
        <f t="shared" si="2"/>
        <v>Ready</v>
      </c>
      <c r="H14" s="6" t="s">
        <v>972</v>
      </c>
      <c r="I14" s="8"/>
    </row>
    <row r="15" ht="27.75" customHeight="1">
      <c r="A15" s="8" t="s">
        <v>587</v>
      </c>
      <c r="B15" s="8" t="s">
        <v>75</v>
      </c>
      <c r="C15" s="6">
        <v>4.0</v>
      </c>
      <c r="D15" s="3" t="s">
        <v>1024</v>
      </c>
      <c r="E15" s="8" t="s">
        <v>1025</v>
      </c>
      <c r="F15" s="6">
        <f t="shared" si="1"/>
        <v>34</v>
      </c>
      <c r="G15" s="6" t="str">
        <f t="shared" si="2"/>
        <v>CONFIRM</v>
      </c>
      <c r="H15" s="6" t="s">
        <v>972</v>
      </c>
      <c r="I15" s="8"/>
    </row>
    <row r="16" ht="27.75" customHeight="1">
      <c r="A16" s="8" t="s">
        <v>587</v>
      </c>
      <c r="B16" s="8" t="s">
        <v>75</v>
      </c>
      <c r="C16" s="6">
        <v>5.0</v>
      </c>
      <c r="D16" s="3" t="s">
        <v>1027</v>
      </c>
      <c r="E16" s="8" t="s">
        <v>1028</v>
      </c>
      <c r="F16" s="6">
        <f t="shared" si="1"/>
        <v>28</v>
      </c>
      <c r="G16" s="6" t="str">
        <f t="shared" si="2"/>
        <v>CLIENT INPUT</v>
      </c>
      <c r="H16" s="6" t="s">
        <v>972</v>
      </c>
      <c r="I16" s="8"/>
    </row>
    <row r="17" ht="40.5" customHeight="1">
      <c r="A17" s="8" t="s">
        <v>587</v>
      </c>
      <c r="B17" s="8" t="s">
        <v>75</v>
      </c>
      <c r="C17" s="6">
        <v>6.0</v>
      </c>
      <c r="D17" s="3" t="s">
        <v>1030</v>
      </c>
      <c r="E17" s="8" t="s">
        <v>1031</v>
      </c>
      <c r="F17" s="6">
        <f t="shared" si="1"/>
        <v>47</v>
      </c>
      <c r="G17" s="6" t="str">
        <f t="shared" si="2"/>
        <v>Ready</v>
      </c>
      <c r="H17" s="6" t="s">
        <v>972</v>
      </c>
      <c r="I17" s="8"/>
    </row>
    <row r="18" ht="27.75" customHeight="1">
      <c r="A18" s="8" t="s">
        <v>687</v>
      </c>
      <c r="B18" s="8" t="s">
        <v>106</v>
      </c>
      <c r="C18" s="6">
        <v>1.0</v>
      </c>
      <c r="D18" s="3" t="s">
        <v>1038</v>
      </c>
      <c r="E18" s="8" t="s">
        <v>1039</v>
      </c>
      <c r="F18" s="6">
        <f t="shared" si="1"/>
        <v>37</v>
      </c>
      <c r="G18" s="6" t="str">
        <f t="shared" si="2"/>
        <v>Ready</v>
      </c>
      <c r="H18" s="6" t="s">
        <v>972</v>
      </c>
      <c r="I18" s="8"/>
    </row>
    <row r="19" ht="27.75" customHeight="1">
      <c r="A19" s="8" t="s">
        <v>687</v>
      </c>
      <c r="B19" s="8" t="s">
        <v>106</v>
      </c>
      <c r="C19" s="6">
        <v>2.0</v>
      </c>
      <c r="D19" s="3" t="s">
        <v>1043</v>
      </c>
      <c r="E19" s="8" t="s">
        <v>1044</v>
      </c>
      <c r="F19" s="6">
        <f t="shared" si="1"/>
        <v>39</v>
      </c>
      <c r="G19" s="6" t="str">
        <f t="shared" si="2"/>
        <v>Ready</v>
      </c>
      <c r="H19" s="6" t="s">
        <v>972</v>
      </c>
      <c r="I19" s="8"/>
    </row>
    <row r="20" ht="27.75" customHeight="1">
      <c r="A20" s="8" t="s">
        <v>687</v>
      </c>
      <c r="B20" s="8" t="s">
        <v>106</v>
      </c>
      <c r="C20" s="6">
        <v>3.0</v>
      </c>
      <c r="D20" s="3" t="s">
        <v>1045</v>
      </c>
      <c r="E20" s="8" t="s">
        <v>1046</v>
      </c>
      <c r="F20" s="6">
        <f t="shared" si="1"/>
        <v>34</v>
      </c>
      <c r="G20" s="6" t="str">
        <f t="shared" si="2"/>
        <v>CLIENT INPUT</v>
      </c>
      <c r="H20" s="6" t="s">
        <v>972</v>
      </c>
      <c r="I20" s="8"/>
    </row>
    <row r="21" ht="40.5" customHeight="1">
      <c r="A21" s="8" t="s">
        <v>687</v>
      </c>
      <c r="B21" s="8" t="s">
        <v>106</v>
      </c>
      <c r="C21" s="6">
        <v>4.0</v>
      </c>
      <c r="D21" s="3" t="s">
        <v>1047</v>
      </c>
      <c r="E21" s="8" t="s">
        <v>1048</v>
      </c>
      <c r="F21" s="6">
        <f t="shared" si="1"/>
        <v>53</v>
      </c>
      <c r="G21" s="6" t="str">
        <f t="shared" si="2"/>
        <v>Ready</v>
      </c>
      <c r="H21" s="6" t="s">
        <v>972</v>
      </c>
      <c r="I21" s="8"/>
    </row>
    <row r="22" ht="27.75" customHeight="1">
      <c r="A22" s="8" t="s">
        <v>687</v>
      </c>
      <c r="B22" s="8" t="s">
        <v>106</v>
      </c>
      <c r="C22" s="6">
        <v>5.0</v>
      </c>
      <c r="D22" s="3" t="s">
        <v>1052</v>
      </c>
      <c r="E22" s="8" t="s">
        <v>1053</v>
      </c>
      <c r="F22" s="6">
        <f t="shared" si="1"/>
        <v>36</v>
      </c>
      <c r="G22" s="6" t="str">
        <f t="shared" si="2"/>
        <v>CLIENT INPUT</v>
      </c>
      <c r="H22" s="6" t="s">
        <v>972</v>
      </c>
      <c r="I22" s="8"/>
    </row>
    <row r="23" ht="27.75" customHeight="1">
      <c r="A23" s="8" t="s">
        <v>687</v>
      </c>
      <c r="B23" s="8" t="s">
        <v>106</v>
      </c>
      <c r="C23" s="6">
        <v>6.0</v>
      </c>
      <c r="D23" s="3" t="s">
        <v>1058</v>
      </c>
      <c r="E23" s="8" t="s">
        <v>1059</v>
      </c>
      <c r="F23" s="6">
        <f t="shared" si="1"/>
        <v>36</v>
      </c>
      <c r="G23" s="6" t="str">
        <f t="shared" si="2"/>
        <v>Ready</v>
      </c>
      <c r="H23" s="6" t="s">
        <v>972</v>
      </c>
      <c r="I23" s="8"/>
    </row>
    <row r="24" ht="27.75" customHeight="1">
      <c r="A24" s="8" t="s">
        <v>734</v>
      </c>
      <c r="B24" s="8" t="s">
        <v>137</v>
      </c>
      <c r="C24" s="6">
        <v>1.0</v>
      </c>
      <c r="D24" s="3" t="s">
        <v>1063</v>
      </c>
      <c r="E24" s="8" t="s">
        <v>1064</v>
      </c>
      <c r="F24" s="6">
        <f t="shared" si="1"/>
        <v>41</v>
      </c>
      <c r="G24" s="6" t="str">
        <f t="shared" si="2"/>
        <v>Ready</v>
      </c>
      <c r="H24" s="6" t="s">
        <v>972</v>
      </c>
      <c r="I24" s="8"/>
    </row>
    <row r="25" ht="40.5" customHeight="1">
      <c r="A25" s="8" t="s">
        <v>734</v>
      </c>
      <c r="B25" s="8" t="s">
        <v>137</v>
      </c>
      <c r="C25" s="6">
        <v>2.0</v>
      </c>
      <c r="D25" s="3" t="s">
        <v>1068</v>
      </c>
      <c r="E25" s="8" t="s">
        <v>1069</v>
      </c>
      <c r="F25" s="6">
        <f t="shared" si="1"/>
        <v>52</v>
      </c>
      <c r="G25" s="6" t="str">
        <f t="shared" si="2"/>
        <v>CLIENT INPUT</v>
      </c>
      <c r="H25" s="6" t="s">
        <v>972</v>
      </c>
      <c r="I25" s="8"/>
    </row>
    <row r="26" ht="27.75" customHeight="1">
      <c r="A26" s="8" t="s">
        <v>734</v>
      </c>
      <c r="B26" s="8" t="s">
        <v>137</v>
      </c>
      <c r="C26" s="6">
        <v>3.0</v>
      </c>
      <c r="D26" s="3" t="s">
        <v>1076</v>
      </c>
      <c r="E26" s="8" t="s">
        <v>1078</v>
      </c>
      <c r="F26" s="6">
        <f t="shared" si="1"/>
        <v>38</v>
      </c>
      <c r="G26" s="6" t="str">
        <f t="shared" si="2"/>
        <v>Ready</v>
      </c>
      <c r="H26" s="6" t="s">
        <v>972</v>
      </c>
      <c r="I26" s="8"/>
    </row>
    <row r="27" ht="15.0" customHeight="1">
      <c r="A27" s="8" t="s">
        <v>734</v>
      </c>
      <c r="B27" s="8" t="s">
        <v>137</v>
      </c>
      <c r="C27" s="6">
        <v>4.0</v>
      </c>
      <c r="D27" s="3" t="s">
        <v>1081</v>
      </c>
      <c r="E27" s="8" t="s">
        <v>1083</v>
      </c>
      <c r="F27" s="6">
        <f t="shared" si="1"/>
        <v>20</v>
      </c>
      <c r="G27" s="6" t="str">
        <f t="shared" si="2"/>
        <v>CONFIRM</v>
      </c>
      <c r="H27" s="6" t="s">
        <v>972</v>
      </c>
      <c r="I27" s="8"/>
    </row>
    <row r="28" ht="27.75" customHeight="1">
      <c r="A28" s="8" t="s">
        <v>734</v>
      </c>
      <c r="B28" s="8" t="s">
        <v>137</v>
      </c>
      <c r="C28" s="6">
        <v>5.0</v>
      </c>
      <c r="D28" s="3" t="s">
        <v>1086</v>
      </c>
      <c r="E28" s="8" t="s">
        <v>1087</v>
      </c>
      <c r="F28" s="6">
        <f t="shared" si="1"/>
        <v>20</v>
      </c>
      <c r="G28" s="6" t="str">
        <f t="shared" si="2"/>
        <v>CONFIRM</v>
      </c>
      <c r="H28" s="6" t="s">
        <v>972</v>
      </c>
      <c r="I28" s="8"/>
    </row>
    <row r="29" ht="27.75" customHeight="1">
      <c r="A29" s="8" t="s">
        <v>734</v>
      </c>
      <c r="B29" s="8" t="s">
        <v>137</v>
      </c>
      <c r="C29" s="6">
        <v>6.0</v>
      </c>
      <c r="D29" s="3" t="s">
        <v>1088</v>
      </c>
      <c r="E29" s="8" t="s">
        <v>1089</v>
      </c>
      <c r="F29" s="6">
        <f t="shared" si="1"/>
        <v>34</v>
      </c>
      <c r="G29" s="6" t="str">
        <f t="shared" si="2"/>
        <v>CONFIRM</v>
      </c>
      <c r="H29" s="6" t="s">
        <v>972</v>
      </c>
      <c r="I29" s="8"/>
    </row>
    <row r="30" ht="27.75" customHeight="1">
      <c r="A30" s="8" t="s">
        <v>776</v>
      </c>
      <c r="B30" s="8" t="s">
        <v>165</v>
      </c>
      <c r="C30" s="6">
        <v>1.0</v>
      </c>
      <c r="D30" s="3" t="s">
        <v>1090</v>
      </c>
      <c r="E30" s="8" t="s">
        <v>1091</v>
      </c>
      <c r="F30" s="6">
        <f t="shared" si="1"/>
        <v>43</v>
      </c>
      <c r="G30" s="6" t="str">
        <f t="shared" si="2"/>
        <v>Ready</v>
      </c>
      <c r="H30" s="6" t="s">
        <v>972</v>
      </c>
      <c r="I30" s="8"/>
    </row>
    <row r="31" ht="27.75" customHeight="1">
      <c r="A31" s="8" t="s">
        <v>776</v>
      </c>
      <c r="B31" s="8" t="s">
        <v>165</v>
      </c>
      <c r="C31" s="6">
        <v>2.0</v>
      </c>
      <c r="D31" s="3" t="s">
        <v>1094</v>
      </c>
      <c r="E31" s="8" t="s">
        <v>1095</v>
      </c>
      <c r="F31" s="6">
        <f t="shared" si="1"/>
        <v>35</v>
      </c>
      <c r="G31" s="6" t="str">
        <f t="shared" si="2"/>
        <v>CLIENT INPUT</v>
      </c>
      <c r="H31" s="6" t="s">
        <v>972</v>
      </c>
      <c r="I31" s="8"/>
    </row>
    <row r="32" ht="66.0" customHeight="1">
      <c r="A32" s="8" t="s">
        <v>776</v>
      </c>
      <c r="B32" s="8" t="s">
        <v>165</v>
      </c>
      <c r="C32" s="6">
        <v>3.0</v>
      </c>
      <c r="D32" s="3" t="s">
        <v>1098</v>
      </c>
      <c r="E32" s="8" t="s">
        <v>1100</v>
      </c>
      <c r="F32" s="6">
        <f t="shared" si="1"/>
        <v>96</v>
      </c>
      <c r="G32" s="6" t="str">
        <f t="shared" si="2"/>
        <v>Ready</v>
      </c>
      <c r="H32" s="6" t="s">
        <v>972</v>
      </c>
      <c r="I32" s="8"/>
    </row>
    <row r="33" ht="40.5" customHeight="1">
      <c r="A33" s="8" t="s">
        <v>776</v>
      </c>
      <c r="B33" s="8" t="s">
        <v>165</v>
      </c>
      <c r="C33" s="6">
        <v>4.0</v>
      </c>
      <c r="D33" s="3" t="s">
        <v>1102</v>
      </c>
      <c r="E33" s="8" t="s">
        <v>1103</v>
      </c>
      <c r="F33" s="6">
        <f t="shared" si="1"/>
        <v>41</v>
      </c>
      <c r="G33" s="6" t="str">
        <f t="shared" si="2"/>
        <v>Ready</v>
      </c>
      <c r="H33" s="6" t="s">
        <v>972</v>
      </c>
      <c r="I33" s="8"/>
    </row>
    <row r="34" ht="15.0" customHeight="1">
      <c r="A34" s="8" t="s">
        <v>776</v>
      </c>
      <c r="B34" s="8" t="s">
        <v>165</v>
      </c>
      <c r="C34" s="6">
        <v>5.0</v>
      </c>
      <c r="D34" s="3" t="s">
        <v>1104</v>
      </c>
      <c r="E34" s="8" t="s">
        <v>1105</v>
      </c>
      <c r="F34" s="6">
        <f t="shared" si="1"/>
        <v>27</v>
      </c>
      <c r="G34" s="6" t="str">
        <f t="shared" si="2"/>
        <v>CONFIRM</v>
      </c>
      <c r="H34" s="6" t="s">
        <v>972</v>
      </c>
      <c r="I34" s="8"/>
    </row>
    <row r="35" ht="27.75" customHeight="1">
      <c r="A35" s="8" t="s">
        <v>776</v>
      </c>
      <c r="B35" s="8" t="s">
        <v>165</v>
      </c>
      <c r="C35" s="6">
        <v>6.0</v>
      </c>
      <c r="D35" s="3" t="s">
        <v>1106</v>
      </c>
      <c r="E35" s="8" t="s">
        <v>1107</v>
      </c>
      <c r="F35" s="6">
        <f t="shared" si="1"/>
        <v>27</v>
      </c>
      <c r="G35" s="6" t="str">
        <f t="shared" si="2"/>
        <v>CLIENT INPUT</v>
      </c>
      <c r="H35" s="6" t="s">
        <v>972</v>
      </c>
      <c r="I35" s="8"/>
    </row>
    <row r="36" ht="27.75" customHeight="1">
      <c r="A36" s="8" t="s">
        <v>802</v>
      </c>
      <c r="B36" s="8" t="s">
        <v>180</v>
      </c>
      <c r="C36" s="6">
        <v>1.0</v>
      </c>
      <c r="D36" s="3" t="s">
        <v>1109</v>
      </c>
      <c r="E36" s="8" t="s">
        <v>1110</v>
      </c>
      <c r="F36" s="6">
        <f t="shared" si="1"/>
        <v>39</v>
      </c>
      <c r="G36" s="6" t="str">
        <f t="shared" si="2"/>
        <v>Ready</v>
      </c>
      <c r="H36" s="6" t="s">
        <v>972</v>
      </c>
      <c r="I36" s="8"/>
    </row>
    <row r="37" ht="15.0" customHeight="1">
      <c r="A37" s="8" t="s">
        <v>802</v>
      </c>
      <c r="B37" s="8" t="s">
        <v>180</v>
      </c>
      <c r="C37" s="6">
        <v>2.0</v>
      </c>
      <c r="D37" s="3" t="s">
        <v>1113</v>
      </c>
      <c r="E37" s="8" t="s">
        <v>1114</v>
      </c>
      <c r="F37" s="6">
        <f t="shared" si="1"/>
        <v>25</v>
      </c>
      <c r="G37" s="6" t="str">
        <f t="shared" si="2"/>
        <v>CLIENT INPUT</v>
      </c>
      <c r="H37" s="6" t="s">
        <v>972</v>
      </c>
      <c r="I37" s="8"/>
    </row>
    <row r="38" ht="27.75" customHeight="1">
      <c r="A38" s="8" t="s">
        <v>802</v>
      </c>
      <c r="B38" s="8" t="s">
        <v>180</v>
      </c>
      <c r="C38" s="6">
        <v>3.0</v>
      </c>
      <c r="D38" s="3" t="s">
        <v>1115</v>
      </c>
      <c r="E38" s="8" t="s">
        <v>1116</v>
      </c>
      <c r="F38" s="6">
        <f t="shared" si="1"/>
        <v>32</v>
      </c>
      <c r="G38" s="6" t="str">
        <f t="shared" si="2"/>
        <v>CONFIRM</v>
      </c>
      <c r="H38" s="6" t="s">
        <v>972</v>
      </c>
      <c r="I38" s="8"/>
    </row>
    <row r="39" ht="27.75" customHeight="1">
      <c r="A39" s="8" t="s">
        <v>802</v>
      </c>
      <c r="B39" s="8" t="s">
        <v>180</v>
      </c>
      <c r="C39" s="6">
        <v>4.0</v>
      </c>
      <c r="D39" s="3" t="s">
        <v>1121</v>
      </c>
      <c r="E39" s="8" t="s">
        <v>1122</v>
      </c>
      <c r="F39" s="6">
        <f t="shared" si="1"/>
        <v>24</v>
      </c>
      <c r="G39" s="6" t="str">
        <f t="shared" si="2"/>
        <v>CLIENT INPUT</v>
      </c>
      <c r="H39" s="6" t="s">
        <v>972</v>
      </c>
      <c r="I39" s="8"/>
    </row>
    <row r="40" ht="27.75" customHeight="1">
      <c r="A40" s="8" t="s">
        <v>802</v>
      </c>
      <c r="B40" s="8" t="s">
        <v>180</v>
      </c>
      <c r="C40" s="6">
        <v>5.0</v>
      </c>
      <c r="D40" s="3" t="s">
        <v>1124</v>
      </c>
      <c r="E40" s="8" t="s">
        <v>1126</v>
      </c>
      <c r="F40" s="6">
        <f t="shared" si="1"/>
        <v>35</v>
      </c>
      <c r="G40" s="6" t="str">
        <f t="shared" si="2"/>
        <v>CONFIRM</v>
      </c>
      <c r="H40" s="6" t="s">
        <v>972</v>
      </c>
      <c r="I40" s="8"/>
    </row>
    <row r="41" ht="27.75" customHeight="1">
      <c r="A41" s="8" t="s">
        <v>802</v>
      </c>
      <c r="B41" s="8" t="s">
        <v>180</v>
      </c>
      <c r="C41" s="6">
        <v>6.0</v>
      </c>
      <c r="D41" s="3" t="s">
        <v>1129</v>
      </c>
      <c r="E41" s="8" t="s">
        <v>1130</v>
      </c>
      <c r="F41" s="6">
        <f t="shared" si="1"/>
        <v>23</v>
      </c>
      <c r="G41" s="6" t="str">
        <f t="shared" si="2"/>
        <v>CONFIRM</v>
      </c>
      <c r="H41" s="6" t="s">
        <v>972</v>
      </c>
      <c r="I41" s="8"/>
    </row>
    <row r="42" ht="27.75" customHeight="1">
      <c r="A42" s="8" t="s">
        <v>822</v>
      </c>
      <c r="B42" s="8" t="s">
        <v>756</v>
      </c>
      <c r="C42" s="6">
        <v>1.0</v>
      </c>
      <c r="D42" s="3" t="s">
        <v>1135</v>
      </c>
      <c r="E42" s="8" t="s">
        <v>1136</v>
      </c>
      <c r="F42" s="6">
        <f t="shared" si="1"/>
        <v>35</v>
      </c>
      <c r="G42" s="6" t="str">
        <f t="shared" si="2"/>
        <v>Ready</v>
      </c>
      <c r="H42" s="6" t="s">
        <v>972</v>
      </c>
      <c r="I42" s="8"/>
    </row>
    <row r="43" ht="27.75" customHeight="1">
      <c r="A43" s="8" t="s">
        <v>822</v>
      </c>
      <c r="B43" s="8" t="s">
        <v>756</v>
      </c>
      <c r="C43" s="6">
        <v>2.0</v>
      </c>
      <c r="D43" s="3" t="s">
        <v>1137</v>
      </c>
      <c r="E43" s="8" t="s">
        <v>1139</v>
      </c>
      <c r="F43" s="6">
        <f t="shared" si="1"/>
        <v>28</v>
      </c>
      <c r="G43" s="6" t="str">
        <f t="shared" si="2"/>
        <v>Ready</v>
      </c>
      <c r="H43" s="6" t="s">
        <v>972</v>
      </c>
      <c r="I43" s="8"/>
    </row>
    <row r="44" ht="15.0" customHeight="1">
      <c r="A44" s="8" t="s">
        <v>822</v>
      </c>
      <c r="B44" s="8" t="s">
        <v>756</v>
      </c>
      <c r="C44" s="6">
        <v>3.0</v>
      </c>
      <c r="D44" s="3" t="s">
        <v>1140</v>
      </c>
      <c r="E44" s="8" t="s">
        <v>1141</v>
      </c>
      <c r="F44" s="6">
        <f t="shared" si="1"/>
        <v>29</v>
      </c>
      <c r="G44" s="6" t="str">
        <f t="shared" si="2"/>
        <v>Ready</v>
      </c>
      <c r="H44" s="6" t="s">
        <v>972</v>
      </c>
      <c r="I44" s="8"/>
    </row>
    <row r="45" ht="40.5" customHeight="1">
      <c r="A45" s="8" t="s">
        <v>822</v>
      </c>
      <c r="B45" s="8" t="s">
        <v>756</v>
      </c>
      <c r="C45" s="6">
        <v>4.0</v>
      </c>
      <c r="D45" s="3" t="s">
        <v>1142</v>
      </c>
      <c r="E45" s="8" t="s">
        <v>1143</v>
      </c>
      <c r="F45" s="6">
        <f t="shared" si="1"/>
        <v>38</v>
      </c>
      <c r="G45" s="6" t="str">
        <f t="shared" si="2"/>
        <v>CLIENT INPUT</v>
      </c>
      <c r="H45" s="6" t="s">
        <v>972</v>
      </c>
      <c r="I45" s="8"/>
    </row>
    <row r="46" ht="27.75" customHeight="1">
      <c r="A46" s="8" t="s">
        <v>822</v>
      </c>
      <c r="B46" s="8" t="s">
        <v>756</v>
      </c>
      <c r="C46" s="6">
        <v>5.0</v>
      </c>
      <c r="D46" s="3" t="s">
        <v>1144</v>
      </c>
      <c r="E46" s="8" t="s">
        <v>1145</v>
      </c>
      <c r="F46" s="6">
        <f t="shared" si="1"/>
        <v>29</v>
      </c>
      <c r="G46" s="6" t="str">
        <f t="shared" si="2"/>
        <v>Ready</v>
      </c>
      <c r="H46" s="6" t="s">
        <v>972</v>
      </c>
      <c r="I46" s="8"/>
    </row>
    <row r="47" ht="27.75" customHeight="1">
      <c r="A47" s="8" t="s">
        <v>845</v>
      </c>
      <c r="B47" s="8" t="s">
        <v>763</v>
      </c>
      <c r="C47" s="6">
        <v>1.0</v>
      </c>
      <c r="D47" s="3" t="s">
        <v>1146</v>
      </c>
      <c r="E47" s="8" t="s">
        <v>1147</v>
      </c>
      <c r="F47" s="6">
        <f t="shared" si="1"/>
        <v>34</v>
      </c>
      <c r="G47" s="6" t="str">
        <f t="shared" si="2"/>
        <v>CLIENT INPUT</v>
      </c>
      <c r="H47" s="6" t="s">
        <v>972</v>
      </c>
      <c r="I47" s="8"/>
    </row>
    <row r="48" ht="27.75" customHeight="1">
      <c r="A48" s="8" t="s">
        <v>845</v>
      </c>
      <c r="B48" s="8" t="s">
        <v>763</v>
      </c>
      <c r="C48" s="6">
        <v>2.0</v>
      </c>
      <c r="D48" s="3" t="s">
        <v>1150</v>
      </c>
      <c r="E48" s="8" t="s">
        <v>1152</v>
      </c>
      <c r="F48" s="6">
        <f t="shared" si="1"/>
        <v>35</v>
      </c>
      <c r="G48" s="6" t="str">
        <f t="shared" si="2"/>
        <v>Ready</v>
      </c>
      <c r="H48" s="6" t="s">
        <v>972</v>
      </c>
      <c r="I48" s="8"/>
    </row>
    <row r="49" ht="27.75" customHeight="1">
      <c r="A49" s="8" t="s">
        <v>845</v>
      </c>
      <c r="B49" s="8" t="s">
        <v>763</v>
      </c>
      <c r="C49" s="6">
        <v>3.0</v>
      </c>
      <c r="D49" s="3" t="s">
        <v>1157</v>
      </c>
      <c r="E49" s="8" t="s">
        <v>1159</v>
      </c>
      <c r="F49" s="6">
        <f t="shared" si="1"/>
        <v>32</v>
      </c>
      <c r="G49" s="6" t="str">
        <f t="shared" si="2"/>
        <v>CONFIRM</v>
      </c>
      <c r="H49" s="6" t="s">
        <v>972</v>
      </c>
      <c r="I49" s="8"/>
    </row>
    <row r="50" ht="27.75" customHeight="1">
      <c r="A50" s="8" t="s">
        <v>845</v>
      </c>
      <c r="B50" s="8" t="s">
        <v>763</v>
      </c>
      <c r="C50" s="6">
        <v>4.0</v>
      </c>
      <c r="D50" s="3" t="s">
        <v>1168</v>
      </c>
      <c r="E50" s="8" t="s">
        <v>1171</v>
      </c>
      <c r="F50" s="6">
        <f t="shared" si="1"/>
        <v>24</v>
      </c>
      <c r="G50" s="6" t="str">
        <f t="shared" si="2"/>
        <v>Ready</v>
      </c>
      <c r="H50" s="6" t="s">
        <v>972</v>
      </c>
      <c r="I50" s="8"/>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5:E50">
    <cfRule type="expression" dxfId="3" priority="1">
      <formula>OR(ISNUMBER(FIND("[CLIENT",D5)),ISNUMBER(FIND("[CONFIRM",D5)),ISNUMBER(FIND("[DEV",D5)))</formula>
    </cfRule>
  </conditionalFormatting>
  <conditionalFormatting sqref="G5:G50">
    <cfRule type="expression" dxfId="0" priority="2">
      <formula>G5="Ready"</formula>
    </cfRule>
  </conditionalFormatting>
  <conditionalFormatting sqref="G5:G50">
    <cfRule type="expression" dxfId="2" priority="3">
      <formula>AND(G5&lt;&gt;"",NOT(G5="Ready"))</formula>
    </cfRule>
  </conditionalFormatting>
  <printOptions/>
  <pageMargins bottom="1.0" footer="0.0" header="0.0" left="0.75" right="0.75" top="1.0"/>
  <pageSetup fitToHeight="0" paperSize="9"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4.0"/>
    <col customWidth="1" min="2" max="2" width="8.0"/>
    <col customWidth="1" min="3" max="3" width="26.0"/>
    <col customWidth="1" min="4" max="4" width="18.0"/>
    <col customWidth="1" min="5" max="5" width="14.0"/>
    <col customWidth="1" min="6" max="6" width="9.0"/>
    <col customWidth="1" min="7" max="7" width="60.0"/>
    <col customWidth="1" min="8" max="8" width="44.0"/>
    <col customWidth="1" min="9" max="26" width="8.71"/>
  </cols>
  <sheetData>
    <row r="1" ht="21.75" customHeight="1">
      <c r="A1" s="1" t="s">
        <v>1148</v>
      </c>
    </row>
    <row r="2">
      <c r="A2" s="2" t="s">
        <v>1149</v>
      </c>
    </row>
    <row r="4" ht="18.0" customHeight="1">
      <c r="A4" s="11" t="s">
        <v>1151</v>
      </c>
      <c r="B4" s="12"/>
      <c r="C4" s="12"/>
      <c r="D4" s="12"/>
      <c r="E4" s="12"/>
      <c r="F4" s="12"/>
      <c r="G4" s="12"/>
      <c r="H4" s="12"/>
    </row>
    <row r="5" ht="30.0" customHeight="1">
      <c r="A5" s="4" t="s">
        <v>1153</v>
      </c>
      <c r="B5" s="4" t="s">
        <v>1154</v>
      </c>
      <c r="C5" s="4" t="s">
        <v>1156</v>
      </c>
      <c r="D5" s="4" t="s">
        <v>1158</v>
      </c>
      <c r="E5" s="4" t="s">
        <v>435</v>
      </c>
      <c r="F5" s="4" t="s">
        <v>1160</v>
      </c>
      <c r="G5" s="4" t="s">
        <v>1161</v>
      </c>
      <c r="H5" s="4" t="s">
        <v>1162</v>
      </c>
    </row>
    <row r="6" ht="60.0" customHeight="1">
      <c r="A6" s="8" t="s">
        <v>1164</v>
      </c>
      <c r="B6" s="6">
        <v>1.0</v>
      </c>
      <c r="C6" s="3" t="s">
        <v>1165</v>
      </c>
      <c r="D6" s="8" t="s">
        <v>1166</v>
      </c>
      <c r="E6" s="8" t="s">
        <v>1167</v>
      </c>
      <c r="F6" s="6" t="s">
        <v>972</v>
      </c>
      <c r="G6" s="8" t="s">
        <v>1169</v>
      </c>
      <c r="H6" s="8" t="s">
        <v>1170</v>
      </c>
    </row>
    <row r="7" ht="53.25" customHeight="1">
      <c r="A7" s="8" t="s">
        <v>1164</v>
      </c>
      <c r="B7" s="6">
        <v>1.0</v>
      </c>
      <c r="C7" s="3" t="s">
        <v>1172</v>
      </c>
      <c r="D7" s="8" t="s">
        <v>1173</v>
      </c>
      <c r="E7" s="8" t="s">
        <v>1174</v>
      </c>
      <c r="F7" s="6" t="s">
        <v>972</v>
      </c>
      <c r="G7" s="8" t="s">
        <v>1175</v>
      </c>
      <c r="H7" s="8" t="s">
        <v>1176</v>
      </c>
    </row>
    <row r="8" ht="60.0" customHeight="1">
      <c r="A8" s="8" t="s">
        <v>1164</v>
      </c>
      <c r="B8" s="6">
        <v>1.0</v>
      </c>
      <c r="C8" s="3" t="s">
        <v>1177</v>
      </c>
      <c r="D8" s="8" t="s">
        <v>1178</v>
      </c>
      <c r="E8" s="8" t="s">
        <v>1179</v>
      </c>
      <c r="F8" s="6" t="s">
        <v>972</v>
      </c>
      <c r="G8" s="8" t="s">
        <v>1181</v>
      </c>
      <c r="H8" s="8" t="s">
        <v>1182</v>
      </c>
    </row>
    <row r="9" ht="27.75" customHeight="1">
      <c r="A9" s="8" t="s">
        <v>1164</v>
      </c>
      <c r="B9" s="6">
        <v>1.0</v>
      </c>
      <c r="C9" s="3" t="s">
        <v>1183</v>
      </c>
      <c r="D9" s="8" t="s">
        <v>1184</v>
      </c>
      <c r="E9" s="8" t="s">
        <v>1185</v>
      </c>
      <c r="F9" s="6" t="s">
        <v>972</v>
      </c>
      <c r="G9" s="8" t="s">
        <v>1186</v>
      </c>
      <c r="H9" s="8" t="s">
        <v>1187</v>
      </c>
    </row>
    <row r="10" ht="27.75" customHeight="1">
      <c r="A10" s="8" t="s">
        <v>1164</v>
      </c>
      <c r="B10" s="6">
        <v>2.0</v>
      </c>
      <c r="C10" s="3" t="s">
        <v>1188</v>
      </c>
      <c r="D10" s="8" t="s">
        <v>1189</v>
      </c>
      <c r="E10" s="8" t="s">
        <v>1174</v>
      </c>
      <c r="F10" s="6" t="s">
        <v>972</v>
      </c>
      <c r="G10" s="8"/>
      <c r="H10" s="8" t="s">
        <v>1190</v>
      </c>
    </row>
    <row r="11" ht="27.75" customHeight="1">
      <c r="A11" s="8" t="s">
        <v>1164</v>
      </c>
      <c r="B11" s="6">
        <v>2.0</v>
      </c>
      <c r="C11" s="3" t="s">
        <v>1191</v>
      </c>
      <c r="D11" s="8" t="s">
        <v>1192</v>
      </c>
      <c r="E11" s="8" t="s">
        <v>1174</v>
      </c>
      <c r="F11" s="6" t="s">
        <v>972</v>
      </c>
      <c r="G11" s="8"/>
      <c r="H11" s="8" t="s">
        <v>1176</v>
      </c>
    </row>
    <row r="12" ht="53.25" customHeight="1">
      <c r="A12" s="8" t="s">
        <v>1164</v>
      </c>
      <c r="B12" s="6">
        <v>2.0</v>
      </c>
      <c r="C12" s="3" t="s">
        <v>1194</v>
      </c>
      <c r="D12" s="8" t="s">
        <v>1195</v>
      </c>
      <c r="E12" s="8" t="s">
        <v>1195</v>
      </c>
      <c r="F12" s="6" t="s">
        <v>972</v>
      </c>
      <c r="G12" s="8"/>
      <c r="H12" s="8" t="s">
        <v>1196</v>
      </c>
    </row>
    <row r="13" ht="60.0" customHeight="1">
      <c r="A13" s="8" t="s">
        <v>1164</v>
      </c>
      <c r="B13" s="6">
        <v>2.0</v>
      </c>
      <c r="C13" s="3" t="s">
        <v>1197</v>
      </c>
      <c r="D13" s="8" t="s">
        <v>1198</v>
      </c>
      <c r="E13" s="8" t="s">
        <v>1199</v>
      </c>
      <c r="F13" s="6" t="s">
        <v>98</v>
      </c>
      <c r="G13" s="8" t="s">
        <v>1200</v>
      </c>
      <c r="H13" s="8" t="s">
        <v>1201</v>
      </c>
    </row>
    <row r="14" ht="53.25" customHeight="1">
      <c r="A14" s="8" t="s">
        <v>1164</v>
      </c>
      <c r="B14" s="6">
        <v>2.0</v>
      </c>
      <c r="C14" s="3" t="s">
        <v>1202</v>
      </c>
      <c r="D14" s="8" t="s">
        <v>1203</v>
      </c>
      <c r="E14" s="8" t="s">
        <v>1174</v>
      </c>
      <c r="F14" s="6" t="s">
        <v>972</v>
      </c>
      <c r="G14" s="8" t="s">
        <v>1204</v>
      </c>
      <c r="H14" s="8" t="s">
        <v>1176</v>
      </c>
    </row>
    <row r="15" ht="60.0" customHeight="1">
      <c r="A15" s="8" t="s">
        <v>1164</v>
      </c>
      <c r="B15" s="6">
        <v>2.0</v>
      </c>
      <c r="C15" s="3" t="s">
        <v>1206</v>
      </c>
      <c r="D15" s="8" t="s">
        <v>1207</v>
      </c>
      <c r="E15" s="8" t="s">
        <v>1208</v>
      </c>
      <c r="F15" s="6" t="s">
        <v>98</v>
      </c>
      <c r="G15" s="8" t="s">
        <v>1209</v>
      </c>
      <c r="H15" s="8" t="s">
        <v>1210</v>
      </c>
    </row>
    <row r="16" ht="53.25" customHeight="1">
      <c r="A16" s="8" t="s">
        <v>1164</v>
      </c>
      <c r="B16" s="6">
        <v>2.0</v>
      </c>
      <c r="C16" s="3" t="s">
        <v>1211</v>
      </c>
      <c r="D16" s="8" t="s">
        <v>1212</v>
      </c>
      <c r="E16" s="8" t="s">
        <v>1213</v>
      </c>
      <c r="F16" s="6" t="s">
        <v>98</v>
      </c>
      <c r="G16" s="8" t="s">
        <v>1214</v>
      </c>
      <c r="H16" s="8" t="s">
        <v>1215</v>
      </c>
    </row>
    <row r="17" ht="53.25" customHeight="1">
      <c r="A17" s="8" t="s">
        <v>1216</v>
      </c>
      <c r="B17" s="6" t="s">
        <v>178</v>
      </c>
      <c r="C17" s="3" t="s">
        <v>1217</v>
      </c>
      <c r="D17" s="8" t="s">
        <v>178</v>
      </c>
      <c r="E17" s="8" t="s">
        <v>178</v>
      </c>
      <c r="F17" s="6" t="s">
        <v>178</v>
      </c>
      <c r="G17" s="8" t="s">
        <v>178</v>
      </c>
      <c r="H17" s="8" t="s">
        <v>178</v>
      </c>
    </row>
    <row r="18" ht="40.5" customHeight="1">
      <c r="A18" s="8" t="s">
        <v>1216</v>
      </c>
      <c r="B18" s="6">
        <v>1.0</v>
      </c>
      <c r="C18" s="3" t="s">
        <v>1219</v>
      </c>
      <c r="D18" s="8" t="s">
        <v>1220</v>
      </c>
      <c r="E18" s="8" t="s">
        <v>1167</v>
      </c>
      <c r="F18" s="6" t="s">
        <v>98</v>
      </c>
      <c r="G18" s="8" t="s">
        <v>1221</v>
      </c>
      <c r="H18" s="8" t="s">
        <v>1170</v>
      </c>
    </row>
    <row r="19" ht="60.0" customHeight="1">
      <c r="A19" s="8" t="s">
        <v>1216</v>
      </c>
      <c r="B19" s="6">
        <v>1.0</v>
      </c>
      <c r="C19" s="3" t="s">
        <v>1222</v>
      </c>
      <c r="D19" s="8" t="s">
        <v>1223</v>
      </c>
      <c r="E19" s="8" t="s">
        <v>1167</v>
      </c>
      <c r="F19" s="6" t="s">
        <v>98</v>
      </c>
      <c r="G19" s="8" t="s">
        <v>1224</v>
      </c>
      <c r="H19" s="8" t="s">
        <v>1170</v>
      </c>
    </row>
    <row r="20" ht="60.0" customHeight="1">
      <c r="A20" s="8" t="s">
        <v>1216</v>
      </c>
      <c r="B20" s="6">
        <v>1.0</v>
      </c>
      <c r="C20" s="3" t="s">
        <v>1225</v>
      </c>
      <c r="D20" s="8" t="s">
        <v>1226</v>
      </c>
      <c r="E20" s="8" t="s">
        <v>1227</v>
      </c>
      <c r="F20" s="6" t="s">
        <v>98</v>
      </c>
      <c r="G20" s="8" t="s">
        <v>1228</v>
      </c>
      <c r="H20" s="8" t="s">
        <v>1229</v>
      </c>
    </row>
    <row r="21" ht="27.75" customHeight="1">
      <c r="A21" s="8" t="s">
        <v>1216</v>
      </c>
      <c r="B21" s="6">
        <v>1.0</v>
      </c>
      <c r="C21" s="3" t="s">
        <v>1231</v>
      </c>
      <c r="D21" s="8" t="s">
        <v>1232</v>
      </c>
      <c r="E21" s="8" t="s">
        <v>1233</v>
      </c>
      <c r="F21" s="6" t="s">
        <v>98</v>
      </c>
      <c r="G21" s="8"/>
      <c r="H21" s="8" t="s">
        <v>1234</v>
      </c>
    </row>
    <row r="22" ht="40.5" customHeight="1">
      <c r="A22" s="8" t="s">
        <v>1235</v>
      </c>
      <c r="B22" s="6">
        <v>1.0</v>
      </c>
      <c r="C22" s="3" t="s">
        <v>1194</v>
      </c>
      <c r="D22" s="8" t="s">
        <v>1195</v>
      </c>
      <c r="E22" s="8" t="s">
        <v>1195</v>
      </c>
      <c r="F22" s="6" t="s">
        <v>972</v>
      </c>
      <c r="G22" s="8" t="s">
        <v>1236</v>
      </c>
      <c r="H22" s="8" t="s">
        <v>1237</v>
      </c>
    </row>
    <row r="23" ht="27.75" customHeight="1">
      <c r="A23" s="8" t="s">
        <v>1235</v>
      </c>
      <c r="B23" s="6">
        <v>1.0</v>
      </c>
      <c r="C23" s="3" t="s">
        <v>1191</v>
      </c>
      <c r="D23" s="8" t="s">
        <v>1192</v>
      </c>
      <c r="E23" s="8" t="s">
        <v>1174</v>
      </c>
      <c r="F23" s="6" t="s">
        <v>98</v>
      </c>
      <c r="G23" s="8"/>
      <c r="H23" s="8" t="s">
        <v>1238</v>
      </c>
    </row>
    <row r="24" ht="60.0" customHeight="1">
      <c r="A24" s="8" t="s">
        <v>1239</v>
      </c>
      <c r="B24" s="6" t="s">
        <v>178</v>
      </c>
      <c r="C24" s="3" t="s">
        <v>1240</v>
      </c>
      <c r="D24" s="8" t="s">
        <v>178</v>
      </c>
      <c r="E24" s="8" t="s">
        <v>1174</v>
      </c>
      <c r="F24" s="6" t="s">
        <v>178</v>
      </c>
      <c r="G24" s="8" t="s">
        <v>1243</v>
      </c>
      <c r="H24" s="8" t="s">
        <v>1245</v>
      </c>
    </row>
    <row r="25" ht="60.0" customHeight="1">
      <c r="A25" s="8" t="s">
        <v>1239</v>
      </c>
      <c r="B25" s="6" t="s">
        <v>178</v>
      </c>
      <c r="C25" s="3" t="s">
        <v>1247</v>
      </c>
      <c r="D25" s="8" t="s">
        <v>1248</v>
      </c>
      <c r="E25" s="8" t="s">
        <v>1249</v>
      </c>
      <c r="F25" s="6" t="s">
        <v>178</v>
      </c>
      <c r="G25" s="8" t="s">
        <v>1250</v>
      </c>
      <c r="H25" s="8" t="s">
        <v>1251</v>
      </c>
    </row>
    <row r="26" ht="60.0" customHeight="1">
      <c r="A26" s="8" t="s">
        <v>1239</v>
      </c>
      <c r="B26" s="6" t="s">
        <v>178</v>
      </c>
      <c r="C26" s="3" t="s">
        <v>1252</v>
      </c>
      <c r="D26" s="8" t="s">
        <v>1253</v>
      </c>
      <c r="E26" s="8" t="s">
        <v>1254</v>
      </c>
      <c r="F26" s="6" t="s">
        <v>178</v>
      </c>
      <c r="G26" s="8" t="s">
        <v>1255</v>
      </c>
      <c r="H26" s="8" t="s">
        <v>1256</v>
      </c>
    </row>
    <row r="27" ht="15.75" customHeight="1"/>
    <row r="28" ht="18.0" customHeight="1">
      <c r="A28" s="11" t="s">
        <v>1257</v>
      </c>
      <c r="B28" s="12"/>
      <c r="C28" s="12"/>
      <c r="D28" s="12"/>
      <c r="E28" s="12"/>
      <c r="F28" s="12"/>
      <c r="G28" s="12"/>
      <c r="H28" s="12"/>
    </row>
    <row r="29" ht="30.0" customHeight="1">
      <c r="A29" s="4" t="s">
        <v>1158</v>
      </c>
      <c r="B29" s="4" t="s">
        <v>1258</v>
      </c>
      <c r="C29" s="4" t="s">
        <v>1259</v>
      </c>
    </row>
    <row r="30" ht="39.75" customHeight="1">
      <c r="A30" s="3" t="s">
        <v>1260</v>
      </c>
      <c r="B30" s="8" t="s">
        <v>1261</v>
      </c>
      <c r="C30" s="8" t="s">
        <v>1262</v>
      </c>
    </row>
    <row r="31" ht="39.75" customHeight="1">
      <c r="A31" s="3" t="s">
        <v>1263</v>
      </c>
      <c r="B31" s="8" t="s">
        <v>1264</v>
      </c>
      <c r="C31" s="8" t="s">
        <v>581</v>
      </c>
    </row>
    <row r="32" ht="39.75" customHeight="1">
      <c r="A32" s="3" t="s">
        <v>1266</v>
      </c>
      <c r="B32" s="8" t="s">
        <v>1267</v>
      </c>
      <c r="C32" s="8" t="s">
        <v>581</v>
      </c>
    </row>
    <row r="33" ht="39.75" customHeight="1">
      <c r="A33" s="3" t="s">
        <v>1268</v>
      </c>
      <c r="B33" s="8" t="s">
        <v>1269</v>
      </c>
      <c r="C33" s="8" t="s">
        <v>581</v>
      </c>
    </row>
    <row r="34" ht="39.75" customHeight="1">
      <c r="A34" s="3" t="s">
        <v>1270</v>
      </c>
      <c r="B34" s="8" t="s">
        <v>1271</v>
      </c>
      <c r="C34" s="8" t="s">
        <v>581</v>
      </c>
    </row>
    <row r="35" ht="39.75" customHeight="1">
      <c r="A35" s="3" t="s">
        <v>1272</v>
      </c>
      <c r="B35" s="8" t="s">
        <v>1273</v>
      </c>
      <c r="C35" s="8" t="s">
        <v>1274</v>
      </c>
    </row>
    <row r="36" ht="39.75" customHeight="1">
      <c r="A36" s="3" t="s">
        <v>1275</v>
      </c>
      <c r="B36" s="8" t="s">
        <v>1276</v>
      </c>
      <c r="C36" s="8" t="s">
        <v>1274</v>
      </c>
    </row>
    <row r="37" ht="39.75" customHeight="1">
      <c r="A37" s="3" t="s">
        <v>1277</v>
      </c>
      <c r="B37" s="8" t="s">
        <v>1278</v>
      </c>
      <c r="C37" s="8" t="s">
        <v>1274</v>
      </c>
    </row>
    <row r="38" ht="39.75" customHeight="1">
      <c r="A38" s="3" t="s">
        <v>1279</v>
      </c>
      <c r="B38" s="8" t="s">
        <v>1280</v>
      </c>
      <c r="C38" s="8" t="s">
        <v>1274</v>
      </c>
    </row>
    <row r="39" ht="39.75" customHeight="1">
      <c r="A39" s="3" t="s">
        <v>1281</v>
      </c>
      <c r="B39" s="8" t="s">
        <v>1282</v>
      </c>
      <c r="C39" s="8" t="s">
        <v>1283</v>
      </c>
    </row>
    <row r="40" ht="15.75" customHeight="1"/>
    <row r="41" ht="18.0" customHeight="1">
      <c r="A41" s="11" t="s">
        <v>1284</v>
      </c>
      <c r="B41" s="12"/>
      <c r="C41" s="12"/>
      <c r="D41" s="12"/>
      <c r="E41" s="12"/>
      <c r="F41" s="12"/>
      <c r="G41" s="12"/>
      <c r="H41" s="12"/>
    </row>
    <row r="42" ht="15.75" customHeight="1">
      <c r="A42" s="47" t="s">
        <v>1285</v>
      </c>
    </row>
    <row r="43" ht="15.75" customHeight="1">
      <c r="A43" s="47" t="s">
        <v>1286</v>
      </c>
    </row>
    <row r="44" ht="15.75" customHeight="1">
      <c r="A44" s="47" t="s">
        <v>1287</v>
      </c>
    </row>
    <row r="45" ht="15.75" customHeight="1">
      <c r="A45" s="47" t="s">
        <v>1288</v>
      </c>
    </row>
    <row r="46" ht="15.75" customHeight="1">
      <c r="A46" s="47" t="s">
        <v>1289</v>
      </c>
    </row>
    <row r="47" ht="15.75" customHeight="1">
      <c r="A47" s="47" t="s">
        <v>1291</v>
      </c>
    </row>
    <row r="48" ht="15.75" customHeight="1">
      <c r="A48" s="47" t="s">
        <v>1293</v>
      </c>
    </row>
    <row r="49" ht="15.75" customHeight="1">
      <c r="A49" s="47" t="s">
        <v>1294</v>
      </c>
    </row>
    <row r="50" ht="15.75" customHeight="1">
      <c r="A50" s="47" t="s">
        <v>1295</v>
      </c>
    </row>
    <row r="51" ht="15.75" customHeight="1">
      <c r="A51" s="47" t="s">
        <v>1296</v>
      </c>
    </row>
    <row r="52" ht="15.75" customHeight="1">
      <c r="A52" s="47" t="s">
        <v>1297</v>
      </c>
    </row>
    <row r="53" ht="15.75" customHeight="1">
      <c r="A53" s="47" t="s">
        <v>1298</v>
      </c>
    </row>
    <row r="54" ht="15.75" customHeight="1">
      <c r="A54" s="47" t="s">
        <v>1299</v>
      </c>
    </row>
    <row r="55" ht="15.75" customHeight="1">
      <c r="A55" s="47" t="s">
        <v>1301</v>
      </c>
    </row>
    <row r="56" ht="15.75" customHeight="1">
      <c r="A56" s="47" t="s">
        <v>1303</v>
      </c>
    </row>
    <row r="57" ht="15.75" customHeight="1">
      <c r="A57" s="47" t="s">
        <v>1304</v>
      </c>
    </row>
    <row r="58" ht="15.75" customHeight="1">
      <c r="A58" s="47" t="s">
        <v>1305</v>
      </c>
    </row>
    <row r="59" ht="15.75" customHeight="1">
      <c r="A59" s="47" t="s">
        <v>1306</v>
      </c>
    </row>
    <row r="60" ht="15.75" customHeight="1">
      <c r="A60" s="47" t="s">
        <v>1307</v>
      </c>
    </row>
    <row r="61" ht="15.75" customHeight="1">
      <c r="A61" s="47" t="s">
        <v>1308</v>
      </c>
    </row>
    <row r="62" ht="15.75" customHeight="1">
      <c r="A62" s="47" t="s">
        <v>1309</v>
      </c>
    </row>
    <row r="63" ht="15.75" customHeight="1">
      <c r="A63" s="47" t="s">
        <v>1310</v>
      </c>
    </row>
    <row r="64" ht="15.75" customHeight="1">
      <c r="A64" s="47" t="s">
        <v>1312</v>
      </c>
    </row>
    <row r="65" ht="15.75" customHeight="1">
      <c r="A65" s="47" t="s">
        <v>1314</v>
      </c>
    </row>
    <row r="66" ht="15.75" customHeight="1">
      <c r="A66" s="47" t="s">
        <v>1315</v>
      </c>
    </row>
    <row r="67" ht="15.75" customHeight="1">
      <c r="A67" s="47" t="s">
        <v>1316</v>
      </c>
    </row>
    <row r="68" ht="15.75" customHeight="1"/>
    <row r="69" ht="18.0" customHeight="1">
      <c r="A69" s="11" t="s">
        <v>1317</v>
      </c>
      <c r="B69" s="12"/>
      <c r="C69" s="12"/>
      <c r="D69" s="12"/>
      <c r="E69" s="12"/>
      <c r="F69" s="12"/>
      <c r="G69" s="12"/>
      <c r="H69" s="12"/>
    </row>
    <row r="70" ht="30.0" customHeight="1">
      <c r="A70" s="4" t="s">
        <v>1319</v>
      </c>
      <c r="B70" s="4" t="s">
        <v>1320</v>
      </c>
      <c r="C70" s="4" t="s">
        <v>164</v>
      </c>
    </row>
    <row r="71" ht="27.75" customHeight="1">
      <c r="A71" s="3" t="s">
        <v>1321</v>
      </c>
      <c r="B71" s="15" t="s">
        <v>1322</v>
      </c>
      <c r="C71" s="7"/>
      <c r="D71" s="7"/>
      <c r="E71" s="7"/>
      <c r="F71" s="9"/>
      <c r="G71" s="15" t="s">
        <v>1323</v>
      </c>
      <c r="H71" s="9"/>
    </row>
    <row r="72" ht="55.5" customHeight="1">
      <c r="A72" s="3" t="s">
        <v>1324</v>
      </c>
      <c r="B72" s="15" t="s">
        <v>1325</v>
      </c>
      <c r="C72" s="7"/>
      <c r="D72" s="7"/>
      <c r="E72" s="7"/>
      <c r="F72" s="9"/>
      <c r="G72" s="15" t="s">
        <v>1326</v>
      </c>
      <c r="H72" s="9"/>
    </row>
    <row r="73" ht="30.0" customHeight="1">
      <c r="A73" s="3" t="s">
        <v>1329</v>
      </c>
      <c r="B73" s="15" t="s">
        <v>1330</v>
      </c>
      <c r="C73" s="7"/>
      <c r="D73" s="7"/>
      <c r="E73" s="7"/>
      <c r="F73" s="9"/>
      <c r="G73" s="15" t="s">
        <v>1331</v>
      </c>
      <c r="H73" s="9"/>
    </row>
    <row r="74" ht="186.0" customHeight="1">
      <c r="A74" s="3" t="s">
        <v>1334</v>
      </c>
      <c r="B74" s="15" t="s">
        <v>1335</v>
      </c>
      <c r="C74" s="7"/>
      <c r="D74" s="7"/>
      <c r="E74" s="7"/>
      <c r="F74" s="9"/>
      <c r="G74" s="15" t="s">
        <v>1336</v>
      </c>
      <c r="H74" s="9"/>
    </row>
    <row r="75" ht="30.0" customHeight="1">
      <c r="A75" s="3" t="s">
        <v>1338</v>
      </c>
      <c r="B75" s="15" t="s">
        <v>1340</v>
      </c>
      <c r="C75" s="7"/>
      <c r="D75" s="7"/>
      <c r="E75" s="7"/>
      <c r="F75" s="9"/>
      <c r="G75" s="15" t="s">
        <v>1345</v>
      </c>
      <c r="H75" s="9"/>
    </row>
    <row r="76" ht="27.75" customHeight="1">
      <c r="A76" s="3" t="s">
        <v>712</v>
      </c>
      <c r="B76" s="15" t="s">
        <v>1346</v>
      </c>
      <c r="C76" s="7"/>
      <c r="D76" s="7"/>
      <c r="E76" s="7"/>
      <c r="F76" s="9"/>
      <c r="G76" s="15" t="s">
        <v>1347</v>
      </c>
      <c r="H76" s="9"/>
    </row>
    <row r="77" ht="30.0" customHeight="1">
      <c r="A77" s="3" t="s">
        <v>1348</v>
      </c>
      <c r="B77" s="15" t="s">
        <v>1349</v>
      </c>
      <c r="C77" s="7"/>
      <c r="D77" s="7"/>
      <c r="E77" s="7"/>
      <c r="F77" s="9"/>
      <c r="G77" s="15" t="s">
        <v>1353</v>
      </c>
      <c r="H77" s="9"/>
    </row>
    <row r="78" ht="27.75" customHeight="1">
      <c r="A78" s="3" t="s">
        <v>1355</v>
      </c>
      <c r="B78" s="15" t="s">
        <v>1356</v>
      </c>
      <c r="C78" s="7"/>
      <c r="D78" s="7"/>
      <c r="E78" s="7"/>
      <c r="F78" s="9"/>
      <c r="G78" s="15" t="s">
        <v>1358</v>
      </c>
      <c r="H78" s="9"/>
    </row>
    <row r="79" ht="30.0" customHeight="1">
      <c r="A79" s="3" t="s">
        <v>1359</v>
      </c>
      <c r="B79" s="15" t="s">
        <v>1360</v>
      </c>
      <c r="C79" s="7"/>
      <c r="D79" s="7"/>
      <c r="E79" s="7"/>
      <c r="F79" s="9"/>
      <c r="G79" s="15" t="s">
        <v>1364</v>
      </c>
      <c r="H79" s="9"/>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B71:F71"/>
    <mergeCell ref="G71:H71"/>
    <mergeCell ref="B72:F72"/>
    <mergeCell ref="G72:H72"/>
    <mergeCell ref="B73:F73"/>
    <mergeCell ref="G73:H73"/>
    <mergeCell ref="G74:H74"/>
    <mergeCell ref="B78:F78"/>
    <mergeCell ref="G78:H78"/>
    <mergeCell ref="B79:F79"/>
    <mergeCell ref="G79:H79"/>
    <mergeCell ref="B74:F74"/>
    <mergeCell ref="B75:F75"/>
    <mergeCell ref="G75:H75"/>
    <mergeCell ref="B76:F76"/>
    <mergeCell ref="G76:H76"/>
    <mergeCell ref="B77:F77"/>
    <mergeCell ref="G77:H77"/>
  </mergeCells>
  <conditionalFormatting sqref="G6:G26">
    <cfRule type="expression" dxfId="3" priority="1">
      <formula>OR(ISNUMBER(FIND("[CLIENT",G6)),ISNUMBER(FIND("[CONFIRM",G6)),ISNUMBER(FIND("[DEV",G6)))</formula>
    </cfRule>
  </conditionalFormatting>
  <conditionalFormatting sqref="B71:B79">
    <cfRule type="expression" dxfId="3" priority="2">
      <formula>OR(ISNUMBER(FIND("[CLIENT",B71)),ISNUMBER(FIND("[CONFIRM",B71)),ISNUMBER(FIND("[DEV",B71)))</formula>
    </cfRule>
  </conditionalFormatting>
  <printOptions/>
  <pageMargins bottom="1.0" footer="0.0" header="0.0" left="0.75" right="0.75" top="1.0"/>
  <pageSetup fitToHeight="0" paperSize="9"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11.0"/>
    <col customWidth="1" min="2" max="2" width="34.0"/>
    <col customWidth="1" min="3" max="3" width="30.0"/>
    <col customWidth="1" min="4" max="4" width="110.0"/>
    <col customWidth="1" min="5" max="5" width="10.0"/>
    <col customWidth="1" min="6" max="6" width="13.0"/>
    <col customWidth="1" min="7" max="7" width="22.0"/>
    <col customWidth="1" min="8" max="8" width="44.0"/>
    <col customWidth="1" min="9" max="26" width="8.71"/>
  </cols>
  <sheetData>
    <row r="1" ht="21.75" customHeight="1">
      <c r="A1" s="1" t="s">
        <v>1409</v>
      </c>
    </row>
    <row r="2">
      <c r="A2" s="2" t="s">
        <v>1412</v>
      </c>
    </row>
    <row r="4" ht="30.0" customHeight="1">
      <c r="A4" s="4" t="s">
        <v>439</v>
      </c>
      <c r="B4" s="4" t="s">
        <v>790</v>
      </c>
      <c r="C4" s="4" t="s">
        <v>1416</v>
      </c>
      <c r="D4" s="4" t="s">
        <v>1419</v>
      </c>
      <c r="E4" s="4" t="s">
        <v>1420</v>
      </c>
      <c r="F4" s="4" t="s">
        <v>1421</v>
      </c>
      <c r="G4" s="4" t="s">
        <v>1423</v>
      </c>
      <c r="H4" s="4" t="s">
        <v>440</v>
      </c>
    </row>
    <row r="5" ht="150.0" customHeight="1">
      <c r="A5" s="3" t="s">
        <v>1424</v>
      </c>
      <c r="B5" s="8" t="s">
        <v>1425</v>
      </c>
      <c r="C5" s="8" t="s">
        <v>1426</v>
      </c>
      <c r="D5" s="48" t="str">
        <f>"{""@context"":""https://schema.org"",""@graph"":[{""@type"":""Organization"",""@id"":""https://remaxforge.com/#organization"",""name"":""Remax Forge &amp; Fittings"",""url"":""https://remaxforge.com/"",""vatID"":""27FFLPP0007K1ZA"&amp;""",""numberOfEmployees"":{""@type"":""QuantitativeValue"",""maxValue"":10},""address"":{""@type"":""PostalAddress"","&amp;IF('15. Client Inputs'!$F$17="","","""streetAddress"":"""&amp;SUBSTITUTE(SUBSTITUTE(SUBSTITUTE('15. Client Inputs'!$F$17,"\","\\"),CHAR(34),"\"&amp;CHAR(34)),CHAR(10)," ")&amp;""",")&amp;"""addressLocality"":""Mumbai"",""addressRegion"":""Maharashtra"","&amp;IF('15. Client Inputs'!$F$18="","","""postalCode"":"""&amp;SUBSTITUTE(SUBSTITUTE(SUBSTITUTE('15. Client Inputs'!$F$18,"\","\\"),CHAR(34),"\"&amp;CHAR(34)),CHAR(10)," ")&amp;""",")&amp;"""addressCountry"":""IN""}"&amp;IF('15. Client Inputs'!$F$40="","",",""logo"":"""&amp;SUBSTITUTE(SUBSTITUTE(SUBSTITUTE('15. Client Inputs'!$F$40,"\","\\"),CHAR(34),"\"&amp;CHAR(34)),CHAR(10)," ")&amp;"""")&amp;IF('15. Client Inputs'!$F$41="","",",""sameAs"":["""&amp;SUBSTITUTE(SUBSTITUTE('15. Client Inputs'!$F$41,CHAR(32),""),",",""",""")&amp;"""]")&amp;"},{""@type"":""WebSite"",""@id"":""https://remaxforge.com/#website"",""url"":""https://remaxforge.com/"",""name"":""Remax Forge &amp; Fittings"",""publisher"":{""@id"":""https://remaxforge.com/#organization""},""inLanguage"":""en"&amp;"-IN""},{""@type"":""Person"",""@id"":""https://remaxforge.com/#vikas-purohit"",""name"":""Vikas Purohit"",""jobTitle"":""CEO"",""worksFor"":{""@id"":""https://remaxforge.com/#organization""}"&amp;IF('15. Client Inputs'!$F$39="","",",""image"":"""&amp;SUBSTITUTE(SUBSTITUTE(SUBSTITUTE('15. Client Inputs'!$F$39,"\","\\"),CHAR(34),"\"&amp;CHAR(34)),CHAR(10)," ")&amp;"""")&amp;"}]}"</f>
        <v>{"@context":"https://schema.org","@graph":[{"@type":"Organization","@id":"https://remaxforge.com/#organization","name":"Remax Forge &amp; Fittings","url":"https://remaxforge.com/","vatID":"27FFLPP0007K1ZA","numberOfEmployees":{"@type":"QuantitativeValue","maxValue":10},"address":{"@type":"PostalAddress","addressLocality":"Mumbai","addressRegion":"Maharashtra","addressCountry":"IN"}},{"@type":"WebSite","@id":"https://remaxforge.com/#website","url":"https://remaxforge.com/","name":"Remax Forge &amp; Fittings","publisher":{"@id":"https://remaxforge.com/#organization"},"inLanguage":"en-IN"},{"@type":"Person","@id":"https://remaxforge.com/#vikas-purohit","name":"Vikas Purohit","jobTitle":"CEO","worksFor":{"@id":"https://remaxforge.com/#organization"}}]}</v>
      </c>
      <c r="E5" s="49">
        <f t="shared" ref="E5:E14" si="1">LEN(D5)</f>
        <v>750</v>
      </c>
      <c r="F5" s="6" t="str">
        <f t="shared" ref="F5:F14" si="2">IF(ISNUMBER(SEARCH(CHAR(34)&amp;"telephone"&amp;CHAR(34),D5)),"FAIL - remove","OK - none")</f>
        <v>OK - none</v>
      </c>
      <c r="G5" s="6" t="str">
        <f t="shared" ref="G5:G14" si="3">IF(OR(ISNUMBER(FIND("[CLIENT",D5)),ISNUMBER(FIND("[CONFIRM",D5)),ISNUMBER(FIND("[DEV",D5))),"Has placeholders - fill tab 15 first","None")</f>
        <v>None</v>
      </c>
      <c r="H5" s="8" t="s">
        <v>1532</v>
      </c>
    </row>
    <row r="6" ht="150.0" customHeight="1">
      <c r="A6" s="3" t="s">
        <v>475</v>
      </c>
      <c r="B6" s="8" t="s">
        <v>478</v>
      </c>
      <c r="C6" s="8" t="s">
        <v>1535</v>
      </c>
      <c r="D6" s="48" t="str">
        <f>"{""@context"":""https://schema.org"",""@graph"":[{""@type"":""WebPage"",""@id"":""https://remaxforge.com/visakhapatnam/#webpage"",""url"":""https://remaxforge.com/visakhapatnam/"",""name"":"""&amp;SUBSTITUTE(SUBSTITUTE(SUBSTITUTE('6. On-Page Specs'!$F$5,"\","\\"),CHAR(34),"\"&amp;CHAR(34)),CHAR(10)," ")&amp;""",""description"":"""&amp;SUBSTITUTE(SUBSTITUTE(SUBSTITUTE('6. On-Page Specs'!$I$5,"\","\\"),CHAR(34),"\"&amp;CHAR(34)),CHAR(10)," ")&amp;""",""isPartOf"":{""@id"":""https://remaxforge.com/#website""},""about"":{""@id"":""https://remaxforge.com/#organization""},""breadcrumb"":{""@id"":""https://remaxforge.com/visakhapatnam/#breadcrumb""},""inLanguage"":""en-I"&amp;"N""},{""@type"":""BreadcrumbList"",""@id"":""https://remaxforge.com/visakhapatnam/#breadcrumb"",""itemListElement"":[{""@type"":""ListItem"",""position"":1,""name"":""Home"",""item"":""https://remaxforge.com/""},{""@type"":""Lis"&amp;"tItem"",""position"":2,""name"":""Areas We Supply"",""item"":""https://remaxforge.com/market-area/""},{""@type"":""ListItem"",""position"":3,""name"":""Andhra Pradesh"",""item"":""https://remaxforge.com/market-area/andhra-pr"&amp;"adesh/""},{""@type"":""ListItem"",""position"":4,""name"":""Visakhapatnam"",""item"":""https://remaxforge.com/visakhapatnam/""}]},{""@type"":""Service"",""@id"":""https://remaxforge.com/visakhapatnam/#service"",""name"":""Flan"&amp;"ge supply to Visakhapatnam"",""serviceType"":""Forged pipe flange manufacturing and supply"",""provider"":{""@id"":""https://remaxforge.com/#organization""},""areaServed"":[{""@type"":""City"",""name"":""Visakhapatnam"","""&amp;"containedInPlace"":{""@type"":""State"",""name"":""Andhra Pradesh""}},{""@type"":""AdministrativeArea"",""name"":""Anakapalli district""}],""availableChannel"":{""@type"":""ServiceChannel"",""name"":""Online request for quotat"&amp;"ion"",""serviceUrl"":""https://remaxforge.com/visakhapatnam/#rfq""},""url"":""https://remaxforge.com/visakhapatnam/""},{""@type"":""FAQPage"",""@id"":""https://remaxforge.com/visakhapatnam/#faq"",""mainEntity"":[{""@type"&amp;""":""Question"",""name"":"""&amp;SUBSTITUTE(SUBSTITUTE(SUBSTITUTE('9. FAQs (Paste)'!$D$5,"\","\\"),CHAR(34),"\"&amp;CHAR(34)),CHAR(10)," ")&amp;""",""acceptedAnswer"":{""@type"":""Answer"",""text"":"""&amp;SUBSTITUTE(SUBSTITUTE(SUBSTITUTE('9. FAQs (Paste)'!$E$5,"\","\\"),CHAR(34),"\"&amp;CHAR(34)),CHAR(10)," ")&amp;"""}},{""@type"":""Question"",""name"":"""&amp;SUBSTITUTE(SUBSTITUTE(SUBSTITUTE('9. FAQs (Paste)'!$D$6,"\","\\"),CHAR(34),"\"&amp;CHAR(34)),CHAR(10)," ")&amp;""",""acceptedAnswer"":{""@type"":""Answer"",""text"":"""&amp;SUBSTITUTE(SUBSTITUTE(SUBSTITUTE('9. FAQs (Paste)'!$E$6,"\","\\"),CHAR(34),"\"&amp;CHAR(34)),CHAR(10)," ")&amp;"""}},{""@type"":""Question"",""name"":"""&amp;SUBSTITUTE(SUBSTITUTE(SUBSTITUTE('9. FAQs (Paste)'!$D$7,"\","\\"),CHAR(34),"\"&amp;CHAR(34)),CHAR(10)," ")&amp;""",""acceptedAnswer"":{""@type"":""Answer"",""text"":"""&amp;SUBSTITUTE(SUBSTITUTE(SUBSTITUTE('9. FAQs (Paste)'!$E$7,"\","\\"),CHAR(34),"\"&amp;CHAR(34)),CHAR(10)," ")&amp;"""}},{""@type"":""Question"",""name"":"""&amp;SUBSTITUTE(SUBSTITUTE(SUBSTITUTE('9. FAQs (Paste)'!$D$8,"\","\\"),CHAR(34),"\"&amp;CHAR(34)),CHAR(10)," ")&amp;""",""acceptedAnswer"":{""@type"":""Answer"",""text"":"""&amp;SUBSTITUTE(SUBSTITUTE(SUBSTITUTE('9. FAQs (Paste)'!$E$8,"\","\\"),CHAR(34),"\"&amp;CHAR(34)),CHAR(10)," ")&amp;"""}},{""@type"":""Question"",""name"":"""&amp;SUBSTITUTE(SUBSTITUTE(SUBSTITUTE('9. FAQs (Paste)'!$D$9,"\","\\"),CHAR(34),"\"&amp;CHAR(34)),CHAR(10)," ")&amp;""",""acceptedAnswer"":{""@type"":""Answer"",""text"":"""&amp;SUBSTITUTE(SUBSTITUTE(SUBSTITUTE('9. FAQs (Paste)'!$E$9,"\","\\"),CHAR(34),"\"&amp;CHAR(34)),CHAR(10)," ")&amp;"""}},{""@type"":""Question"",""name"":"""&amp;SUBSTITUTE(SUBSTITUTE(SUBSTITUTE('9. FAQs (Paste)'!$D$10,"\","\\"),CHAR(34),"\"&amp;CHAR(34)),CHAR(10)," ")&amp;""",""acceptedAnswer"":{""@type"":""Answer"",""text"":"""&amp;SUBSTITUTE(SUBSTITUTE(SUBSTITUTE('9. FAQs (Paste)'!$E$10,"\","\\"),CHAR(34),"\"&amp;CHAR(34)),CHAR(10)," ")&amp;"""}},{""@type"":""Question"",""name"":"""&amp;SUBSTITUTE(SUBSTITUTE(SUBSTITUTE('9. FAQs (Paste)'!$D$11,"\","\\"),CHAR(34),"\"&amp;CHAR(34)),CHAR(10)," ")&amp;""",""acceptedAnswer"":{""@type"":""Answer"",""text"":"""&amp;SUBSTITUTE(SUBSTITUTE(SUBSTITUTE('9. FAQs (Paste)'!$E$11,"\","\\"),CHAR(34),"\"&amp;CHAR(34)),CHAR(10)," ")&amp;"""}}]}]}"</f>
        <v>{"@context":"https://schema.org","@graph":[{"@type":"WebPage","@id":"https://remaxforge.com/visakhapatnam/#webpage","url":"https://remaxforge.com/visakhapatnam/","name":"Flange Supplier in Visakhapatnam | Flanges Manufacturer","description":"Forged flanges for Vizag and Anakapalli steel plants, the refinery, ports and Pharma City. CS, SS, alloy and NACE grades from Mumbai. Written quotes.","isPartOf":{"@id":"https://remaxforge.com/#website"},"about":{"@id":"https://remaxforge.com/#organization"},"breadcrumb":{"@id":"https://remaxforge.com/visakhapatnam/#breadcrumb"},"inLanguage":"en-IN"},{"@type":"BreadcrumbList","@id":"https://remaxforge.com/visakhapatnam/#breadcrumb","itemListElement":[{"@type":"ListItem","position":1,"name":"Home","item":"https://remaxforge.com/"},{"@type":"ListItem","position":2,"name":"Areas We Supply","item":"https://remaxforge.com/market-area/"},{"@type":"ListItem","position":3,"name":"Andhra Pradesh","item":"https://remaxforge.com/market-area/andhra-pradesh/"},{"@type":"ListItem","position":4,"name":"Visakhapatnam","item":"https://remaxforge.com/visakhapatnam/"}]},{"@type":"Service","@id":"https://remaxforge.com/visakhapatnam/#service","name":"Flange supply to Visakhapatnam","serviceType":"Forged pipe flange manufacturing and supply","provider":{"@id":"https://remaxforge.com/#organization"},"areaServed":[{"@type":"City","name":"Visakhapatnam","containedInPlace":{"@type":"State","name":"Andhra Pradesh"}},{"@type":"AdministrativeArea","name":"Anakapalli district"}],"availableChannel":{"@type":"ServiceChannel","name":"Online request for quotation","serviceUrl":"https://remaxforge.com/visakhapatnam/#rfq"},"url":"https://remaxforge.com/visakhapatnam/"},{"@type":"FAQPage","@id":"https://remaxforge.com/visakhapatnam/#faq","mainEntity":[{"@type":"Question","name":"Are you a local flange supplier in Visakhapatnam, or do you ship from Mumbai?","acceptedAnswer":{"@type":"Answer","text":"We ship from Mumbai. Remax Forge manufactures and dispatches from its Mumbai unit [CLIENT: confirm] and delivers to Visakhapatnam and Anakapalli by road. You deal directly with the manufacturer, so questions about grade, heat treatment or certificates are answered by the people who made the flange."}},{"@type":"Question","name":"How long does delivery to Visakhapatnam take?","acceptedAnswer":{"@type":"Answer","text":"Transit is typically [CLIENT: X-Y days] after dispatch. Production time depends on size, grade and quantity - standard carbon-steel sizes are quicker than alloy or large-bore forgings - and your quote states both dates."}},{"@type":"Question","name":"Can you supply contractors working on the Anakapalli steel project or refinery jobs?","acceptedAnswer":{"@type":"Answer","text":"Yes, against the project's own material specification and vendor document requirements: inspection and test plan, third-party inspection, EN 10204 3.1 or 3.2 certificates [CONFIRM]. If the project only buys from an approved vendor list, check that first; we can support registration where the owner allows it. [CLIENT: list any genuine approvals or registrations, otherwise keep this wording.]"}},{"@type":"Question","name":"Which flange material should I use for seawater or harbour-side lines?","acceptedAnswer":{"@type":"Answer","text":"For flanges wetted by pumped seawater, super duplex (A182 F53/F55) or 6Mo (F44) is the usual choice - 316L and standard duplex (F51/F60) can suffer crevice corrosion at the gasket face in warm seawater, so keep them to splash-zone and marine-air duty. Coated carbon steel is common on freshwater fire-water rings. The line designer decides - send us the line list and we quote to it."}},{"@type":"Question","name":"Do you supply NACE MR0103 / MR0175 compliant flanges?","acceptedAnswer":{"@type":"Answer","text":"[CONFIRM] Yes. Mention the standard in your enquiry and we supply hardness-controlled material with certificates that reference it. See our sour-service flange page for details."}},{"@type":"Question","name":"What paperwork comes with a delivery to Andhra Pradesh?","acceptedAnswer":{"@type":"Answer","text":"A GST tax invoice charged with IGST, an e-way bill for consignments above Rs 50,000, a packing list, and material test certificates traceable to the heat number on each flange."}},{"@type":"Question","name":"Can I get a quote without calling anyone?","acceptedAnswer":{"@type":"Answer","text":"Yes - that is how we work. Fill the form or upload your BOQ and we reply by email with a written, line-by-line quote. Everything stays in writing, which makes approvals and purchase-order matching easier."}}]}]}</v>
      </c>
      <c r="E6" s="49">
        <f t="shared" si="1"/>
        <v>4602</v>
      </c>
      <c r="F6" s="6" t="str">
        <f t="shared" si="2"/>
        <v>OK - none</v>
      </c>
      <c r="G6" s="6" t="str">
        <f t="shared" si="3"/>
        <v>Has placeholders - fill tab 15 first</v>
      </c>
      <c r="H6" s="8" t="s">
        <v>1795</v>
      </c>
    </row>
    <row r="7" ht="150.0" customHeight="1">
      <c r="A7" s="3" t="s">
        <v>587</v>
      </c>
      <c r="B7" s="8" t="s">
        <v>590</v>
      </c>
      <c r="C7" s="8" t="s">
        <v>1535</v>
      </c>
      <c r="D7" s="48" t="str">
        <f>"{""@context"":""https://schema.org"",""@graph"":[{""@type"":""WebPage"",""@id"":""https://remaxforge.com/vijayawada/#webpage"",""url"":""https://remaxforge.com/vijayawada/"",""name"":"""&amp;SUBSTITUTE(SUBSTITUTE(SUBSTITUTE('6. On-Page Specs'!$F$6,"\","\\"),CHAR(34),"\"&amp;CHAR(34)),CHAR(10)," ")&amp;""",""description"":"""&amp;SUBSTITUTE(SUBSTITUTE(SUBSTITUTE('6. On-Page Specs'!$I$6,"\","\\"),CHAR(34),"\"&amp;CHAR(34)),CHAR(10)," ")&amp;""",""isPartOf"":{""@id"":""https://remaxforge.com/#website""},""about"":{""@id"":""https://remaxforge.com/#organization""},""breadcrumb"":{""@id"":""https://remaxforge.com/vijayawada/#breadcrumb""},""inLanguage"":""en-IN""}"&amp;",{""@type"":""BreadcrumbList"",""@id"":""https://remaxforge.com/vijayawada/#breadcrumb"",""itemListElement"":[{""@type"":""ListItem"",""position"":1,""name"":""Home"",""item"":""https://remaxforge.com/""},{""@type"":""ListItem"""&amp;",""position"":2,""name"":""Areas We Supply"",""item"":""https://remaxforge.com/market-area/""},{""@type"":""ListItem"",""position"":3,""name"":""Andhra Pradesh"",""item"":""https://remaxforge.com/market-area/andhra-pradesh/"&amp;"""},{""@type"":""ListItem"",""position"":4,""name"":""Vijayawada"",""item"":""https://remaxforge.com/vijayawada/""}]},{""@type"":""Service"",""@id"":""https://remaxforge.com/vijayawada/#service"",""name"":""Flange supply to Vi"&amp;"jayawada"",""serviceType"":""Forged pipe flange manufacturing and supply"",""provider"":{""@id"":""https://remaxforge.com/#organization""},""areaServed"":[{""@type"":""City"",""name"":""Vijayawada"",""containedInPlace"":{""@"&amp;"type"":""State"",""name"":""Andhra Pradesh""}},{""@type"":""AdministrativeArea"",""name"":""Amaravati capital region""}],""availableChannel"":{""@type"":""ServiceChannel"",""name"":""Online request for quotation"",""serviceUrl"&amp;""":""https://remaxforge.com/vijayawada/#rfq""},""url"":""https://remaxforge.com/vijayawada/""},{""@type"":""FAQPage"",""@id"":""https://remaxforge.com/vijayawada/#faq"",""mainEntity"":[{""@type"":""Question"",""name"":"""&amp;SUBSTITUTE(SUBSTITUTE(SUBSTITUTE('9. FAQs (Paste)'!$D$12,"\","\\"),CHAR(34),"\"&amp;CHAR(34)),CHAR(10)," ")&amp;""",""acceptedAnswer"":{""@type"":""Answer"",""text"":"""&amp;SUBSTITUTE(SUBSTITUTE(SUBSTITUTE('9. FAQs (Paste)'!$E$12,"\","\\"),CHAR(34),"\"&amp;CHAR(34)),CHAR(10)," ")&amp;"""}},{""@type"":""Question"",""name"":"""&amp;SUBSTITUTE(SUBSTITUTE(SUBSTITUTE('9. FAQs (Paste)'!$D$13,"\","\\"),CHAR(34),"\"&amp;CHAR(34)),CHAR(10)," ")&amp;""",""acceptedAnswer"":{""@type"":""Answer"",""text"":"""&amp;SUBSTITUTE(SUBSTITUTE(SUBSTITUTE('9. FAQs (Paste)'!$E$13,"\","\\"),CHAR(34),"\"&amp;CHAR(34)),CHAR(10)," ")&amp;"""}},{""@type"":""Question"",""name"":"""&amp;SUBSTITUTE(SUBSTITUTE(SUBSTITUTE('9. FAQs (Paste)'!$D$14,"\","\\"),CHAR(34),"\"&amp;CHAR(34)),CHAR(10)," ")&amp;""",""acceptedAnswer"":{""@type"":""Answer"",""text"":"""&amp;SUBSTITUTE(SUBSTITUTE(SUBSTITUTE('9. FAQs (Paste)'!$E$14,"\","\\"),CHAR(34),"\"&amp;CHAR(34)),CHAR(10)," ")&amp;"""}},{""@type"":""Question"",""name"":"""&amp;SUBSTITUTE(SUBSTITUTE(SUBSTITUTE('9. FAQs (Paste)'!$D$15,"\","\\"),CHAR(34),"\"&amp;CHAR(34)),CHAR(10)," ")&amp;""",""acceptedAnswer"":{""@type"":""Answer"",""text"":"""&amp;SUBSTITUTE(SUBSTITUTE(SUBSTITUTE('9. FAQs (Paste)'!$E$15,"\","\\"),CHAR(34),"\"&amp;CHAR(34)),CHAR(10)," ")&amp;"""}},{""@type"":""Question"",""name"":"""&amp;SUBSTITUTE(SUBSTITUTE(SUBSTITUTE('9. FAQs (Paste)'!$D$16,"\","\\"),CHAR(34),"\"&amp;CHAR(34)),CHAR(10)," ")&amp;""",""acceptedAnswer"":{""@type"":""Answer"",""text"":"""&amp;SUBSTITUTE(SUBSTITUTE(SUBSTITUTE('9. FAQs (Paste)'!$E$16,"\","\\"),CHAR(34),"\"&amp;CHAR(34)),CHAR(10)," ")&amp;"""}},{""@type"":""Question"",""name"":"""&amp;SUBSTITUTE(SUBSTITUTE(SUBSTITUTE('9. FAQs (Paste)'!$D$17,"\","\\"),CHAR(34),"\"&amp;CHAR(34)),CHAR(10)," ")&amp;""",""acceptedAnswer"":{""@type"":""Answer"",""text"":"""&amp;SUBSTITUTE(SUBSTITUTE(SUBSTITUTE('9. FAQs (Paste)'!$E$17,"\","\\"),CHAR(34),"\"&amp;CHAR(34)),CHAR(10)," ")&amp;"""}}]}]}"</f>
        <v>{"@context":"https://schema.org","@graph":[{"@type":"WebPage","@id":"https://remaxforge.com/vijayawada/#webpage","url":"https://remaxforge.com/vijayawada/","name":"Flange Supplier in Vijayawada | Flanges Manufacturer","description":"Flanges for Vijayawada power stations, Kondapalli industry and Amaravati water and building works. ASME, EN and IS drilling. Written quotes by email.","isPartOf":{"@id":"https://remaxforge.com/#website"},"about":{"@id":"https://remaxforge.com/#organization"},"breadcrumb":{"@id":"https://remaxforge.com/vijayawada/#breadcrumb"},"inLanguage":"en-IN"},{"@type":"BreadcrumbList","@id":"https://remaxforge.com/vijayawada/#breadcrumb","itemListElement":[{"@type":"ListItem","position":1,"name":"Home","item":"https://remaxforge.com/"},{"@type":"ListItem","position":2,"name":"Areas We Supply","item":"https://remaxforge.com/market-area/"},{"@type":"ListItem","position":3,"name":"Andhra Pradesh","item":"https://remaxforge.com/market-area/andhra-pradesh/"},{"@type":"ListItem","position":4,"name":"Vijayawada","item":"https://remaxforge.com/vijayawada/"}]},{"@type":"Service","@id":"https://remaxforge.com/vijayawada/#service","name":"Flange supply to Vijayawada","serviceType":"Forged pipe flange manufacturing and supply","provider":{"@id":"https://remaxforge.com/#organization"},"areaServed":[{"@type":"City","name":"Vijayawada","containedInPlace":{"@type":"State","name":"Andhra Pradesh"}},{"@type":"AdministrativeArea","name":"Amaravati capital region"}],"availableChannel":{"@type":"ServiceChannel","name":"Online request for quotation","serviceUrl":"https://remaxforge.com/vijayawada/#rfq"},"url":"https://remaxforge.com/vijayawada/"},{"@type":"FAQPage","@id":"https://remaxforge.com/vijayawada/#faq","mainEntity":[{"@type":"Question","name":"Are you a local flange supplier in Vijayawada, or do you ship from Mumbai?","acceptedAnswer":{"@type":"Answer","text":"We ship from Mumbai and do not use dealers or stockists in Vijayawada, so you buy directly from the manufacturer and receive the manufacturer's certificates with every delivery."}},{"@type":"Question","name":"Do you supply flanges to contractors working on Amaravati capital projects?","acceptedAnswer":{"@type":"Answer","text":"[CONFIRM] Yes. We quote against the contractor's approved specification and drawings, including large-bore and PN-drilled flanges for water, sewerage and pumping stations. If the package names a make list or third-party inspection, attach it to the enquiry."}},{"@type":"Question","name":"Will a Class 150 flange bolt to a PN16 valve?","acceptedAnswer":{"@type":"Answer","text":"Usually not - bolt circles and hole sizes differ for most sizes. Match the flange to the valve's drilling standard, or order a flange drilled to that standard."}},{"@type":"Question","name":"Can you supply F11, F22 or F91 flanges for power-plant steam lines?","acceptedAnswer":{"@type":"Answer","text":"[CONFIRM] Yes, in weld neck and other types, heat-treated as ASTM A182 requires, with certificates showing chemistry, mechanical results and heat treatment."}},{"@type":"Question","name":"How long does delivery to Vijayawada take?","acceptedAnswer":{"@type":"Answer","text":"Typically [CLIENT: X-Y days] in transit after dispatch; production time depends on grade and size and is stated in the quote."}},{"@type":"Question","name":"What should my enquiry include?","acceptedAnswer":{"@type":"Answer","text":"Flange type, nominal size, pressure class or PN, facing (RF, FF or RTJ), material specification and grade, bore or schedule for weld neck flanges, quantity, delivery location, and any testing or certificate requirements. A BOQ or drawing upload covers all of it."}}]}]}</v>
      </c>
      <c r="E7" s="49">
        <f t="shared" si="1"/>
        <v>3685</v>
      </c>
      <c r="F7" s="6" t="str">
        <f t="shared" si="2"/>
        <v>OK - none</v>
      </c>
      <c r="G7" s="6" t="str">
        <f t="shared" si="3"/>
        <v>Has placeholders - fill tab 15 first</v>
      </c>
      <c r="H7" s="8" t="s">
        <v>1795</v>
      </c>
    </row>
    <row r="8" ht="150.0" customHeight="1">
      <c r="A8" s="3" t="s">
        <v>687</v>
      </c>
      <c r="B8" s="8" t="s">
        <v>690</v>
      </c>
      <c r="C8" s="8" t="s">
        <v>1535</v>
      </c>
      <c r="D8" s="48" t="str">
        <f>"{""@context"":""https://schema.org"",""@graph"":[{""@type"":""WebPage"",""@id"":""https://remaxforge.com/guntur/#webpage"",""url"":""https://remaxforge.com/guntur/"",""name"":"""&amp;SUBSTITUTE(SUBSTITUTE(SUBSTITUTE('6. On-Page Specs'!$F$7,"\","\\"),CHAR(34),"\"&amp;CHAR(34)),CHAR(10)," ")&amp;""",""description"":"""&amp;SUBSTITUTE(SUBSTITUTE(SUBSTITUTE('6. On-Page Specs'!$I$7,"\","\\"),CHAR(34),"\"&amp;CHAR(34)),CHAR(10)," ")&amp;""",""isPartOf"":{""@id"":""https://remaxforge.com/#website""},""about"":{""@id"":""https://remaxforge.com/#organization""},""breadcrumb"":{""@id"":""https://remaxforge.com/guntur/#breadcrumb""},""inLanguage"":""en-IN""},{""@"&amp;"type"":""BreadcrumbList"",""@id"":""https://remaxforge.com/guntur/#breadcrumb"",""itemListElement"":[{""@type"":""ListItem"",""position"":1,""name"":""Home"",""item"":""https://remaxforge.com/""},{""@type"":""ListItem"",""positi"&amp;"on"":2,""name"":""Areas We Supply"",""item"":""https://remaxforge.com/market-area/""},{""@type"":""ListItem"",""position"":3,""name"":""Andhra Pradesh"",""item"":""https://remaxforge.com/market-area/andhra-pradesh/""},{""@ty"&amp;"pe"":""ListItem"",""position"":4,""name"":""Guntur"",""item"":""https://remaxforge.com/guntur/""}]},{""@type"":""Service"",""@id"":""https://remaxforge.com/guntur/#service"",""name"":""Flange supply to Guntur"",""serviceType"":"&amp;"""Forged pipe flange manufacturing and supply"",""provider"":{""@id"":""https://remaxforge.com/#organization""},""areaServed"":[{""@type"":""City"",""name"":""Guntur"",""containedInPlace"":{""@type"":""State"",""name"":""Andhra"&amp;" Pradesh""}},{""@type"":""AdministrativeArea"",""name"":""Guntur district""}],""availableChannel"":{""@type"":""ServiceChannel"",""name"":""Online request for quotation"",""serviceUrl"":""https://remaxforge.com/guntur/#rfq"&amp;"""},""url"":""https://remaxforge.com/guntur/""},{""@type"":""FAQPage"",""@id"":""https://remaxforge.com/guntur/#faq"",""mainEntity"":[{""@type"":""Question"",""name"":"""&amp;SUBSTITUTE(SUBSTITUTE(SUBSTITUTE('9. FAQs (Paste)'!$D$18,"\","\\"),CHAR(34),"\"&amp;CHAR(34)),CHAR(10)," ")&amp;""",""acceptedAnswer"":{""@type"":""Answer"",""text"":"""&amp;SUBSTITUTE(SUBSTITUTE(SUBSTITUTE('9. FAQs (Paste)'!$E$18,"\","\\"),CHAR(34),"\"&amp;CHAR(34)),CHAR(10)," ")&amp;"""}},{""@type"":""Question"",""name"":"""&amp;SUBSTITUTE(SUBSTITUTE(SUBSTITUTE('9. FAQs (Paste)'!$D$19,"\","\\"),CHAR(34),"\"&amp;CHAR(34)),CHAR(10)," ")&amp;""",""acceptedAnswer"":{""@type"":""Answer"",""text"":"""&amp;SUBSTITUTE(SUBSTITUTE(SUBSTITUTE('9. FAQs (Paste)'!$E$19,"\","\\"),CHAR(34),"\"&amp;CHAR(34)),CHAR(10)," ")&amp;"""}},{""@type"":""Question"",""name"":"""&amp;SUBSTITUTE(SUBSTITUTE(SUBSTITUTE('9. FAQs (Paste)'!$D$20,"\","\\"),CHAR(34),"\"&amp;CHAR(34)),CHAR(10)," ")&amp;""",""acceptedAnswer"":{""@type"":""Answer"",""text"":"""&amp;SUBSTITUTE(SUBSTITUTE(SUBSTITUTE('9. FAQs (Paste)'!$E$20,"\","\\"),CHAR(34),"\"&amp;CHAR(34)),CHAR(10)," ")&amp;"""}},{""@type"":""Question"",""name"":"""&amp;SUBSTITUTE(SUBSTITUTE(SUBSTITUTE('9. FAQs (Paste)'!$D$21,"\","\\"),CHAR(34),"\"&amp;CHAR(34)),CHAR(10)," ")&amp;""",""acceptedAnswer"":{""@type"":""Answer"",""text"":"""&amp;SUBSTITUTE(SUBSTITUTE(SUBSTITUTE('9. FAQs (Paste)'!$E$21,"\","\\"),CHAR(34),"\"&amp;CHAR(34)),CHAR(10)," ")&amp;"""}},{""@type"":""Question"",""name"":"""&amp;SUBSTITUTE(SUBSTITUTE(SUBSTITUTE('9. FAQs (Paste)'!$D$22,"\","\\"),CHAR(34),"\"&amp;CHAR(34)),CHAR(10)," ")&amp;""",""acceptedAnswer"":{""@type"":""Answer"",""text"":"""&amp;SUBSTITUTE(SUBSTITUTE(SUBSTITUTE('9. FAQs (Paste)'!$E$22,"\","\\"),CHAR(34),"\"&amp;CHAR(34)),CHAR(10)," ")&amp;"""}},{""@type"":""Question"",""name"":"""&amp;SUBSTITUTE(SUBSTITUTE(SUBSTITUTE('9. FAQs (Paste)'!$D$23,"\","\\"),CHAR(34),"\"&amp;CHAR(34)),CHAR(10)," ")&amp;""",""acceptedAnswer"":{""@type"":""Answer"",""text"":"""&amp;SUBSTITUTE(SUBSTITUTE(SUBSTITUTE('9. FAQs (Paste)'!$E$23,"\","\\"),CHAR(34),"\"&amp;CHAR(34)),CHAR(10)," ")&amp;"""}}]}]}"</f>
        <v>{"@context":"https://schema.org","@graph":[{"@type":"WebPage","@id":"https://remaxforge.com/guntur/#webpage","url":"https://remaxforge.com/guntur/","name":"Flange Supplier in Guntur | Flanges Manufacturer","description":"Steel flanges for Guntur cold storages, ammonia refrigeration, mill boilers and capital-region projects. A105, LF2 and SS grades. Quotes by email.","isPartOf":{"@id":"https://remaxforge.com/#website"},"about":{"@id":"https://remaxforge.com/#organization"},"breadcrumb":{"@id":"https://remaxforge.com/guntur/#breadcrumb"},"inLanguage":"en-IN"},{"@type":"BreadcrumbList","@id":"https://remaxforge.com/guntur/#breadcrumb","itemListElement":[{"@type":"ListItem","position":1,"name":"Home","item":"https://remaxforge.com/"},{"@type":"ListItem","position":2,"name":"Areas We Supply","item":"https://remaxforge.com/market-area/"},{"@type":"ListItem","position":3,"name":"Andhra Pradesh","item":"https://remaxforge.com/market-area/andhra-pradesh/"},{"@type":"ListItem","position":4,"name":"Guntur","item":"https://remaxforge.com/guntur/"}]},{"@type":"Service","@id":"https://remaxforge.com/guntur/#service","name":"Flange supply to Guntur","serviceType":"Forged pipe flange manufacturing and supply","provider":{"@id":"https://remaxforge.com/#organization"},"areaServed":[{"@type":"City","name":"Guntur","containedInPlace":{"@type":"State","name":"Andhra Pradesh"}},{"@type":"AdministrativeArea","name":"Guntur district"}],"availableChannel":{"@type":"ServiceChannel","name":"Online request for quotation","serviceUrl":"https://remaxforge.com/guntur/#rfq"},"url":"https://remaxforge.com/guntur/"},{"@type":"FAQPage","@id":"https://remaxforge.com/guntur/#faq","mainEntity":[{"@type":"Question","name":"Are you a local flange supplier in Guntur, or do you ship from Mumbai?","acceptedAnswer":{"@type":"Answer","text":"Everything ships from our Mumbai unit - there is no dealer in between, so the certificates you receive come straight from the manufacturer."}},{"@type":"Question","name":"Can I use brass or copper-nickel flanges on an ammonia refrigeration line?","acceptedAnswer":{"@type":"Answer","text":"No. Ammonia attacks copper and its alloys; use steel flanges - A105 for typical cold-store temperatures, A350 LF2 where the design metal temperature is below -29 °C."}},{"@type":"Question","name":"Do you supply IBR-certified flanges for boiler steam lines?","acceptedAnswer":{"@type":"Answer","text":"[CLIENT: answer truthfully - for example 'Yes, with IBR documentation for lines under the Indian Boiler Regulations' or 'Not currently; we supply non-IBR utility flanges.']"}},{"@type":"Question","name":"What is the difference between A105 and A350 LF2?","acceptedAnswer":{"@type":"Answer","text":"Both are carbon-steel forgings. A350 LF2 is made and tested for toughness at low temperature - Class 1 is impact-tested at -46 °C - so it is the choice for sub-zero design metal temperatures. A105 is the standard grade for ambient and elevated temperatures."}},{"@type":"Question","name":"How quickly can you deliver to Guntur for a breakdown?","acceptedAnswer":{"@type":"Answer","text":"Transit is typically [CLIENT: X-Y days] after dispatch. State your shutdown or breakdown date in the form and we confirm what is realistic before you order."}},{"@type":"Question","name":"What documents come with the delivery?","acceptedAnswer":{"@type":"Answer","text":"A GST tax invoice with IGST, an e-way bill for consignments above Rs 50,000, a packing list and material test certificates matched to the heat numbers stamped on the flanges."}}]}]}</v>
      </c>
      <c r="E8" s="49">
        <f t="shared" si="1"/>
        <v>3558</v>
      </c>
      <c r="F8" s="6" t="str">
        <f t="shared" si="2"/>
        <v>OK - none</v>
      </c>
      <c r="G8" s="6" t="str">
        <f t="shared" si="3"/>
        <v>Has placeholders - fill tab 15 first</v>
      </c>
      <c r="H8" s="8" t="s">
        <v>1795</v>
      </c>
    </row>
    <row r="9" ht="150.0" customHeight="1">
      <c r="A9" s="3" t="s">
        <v>734</v>
      </c>
      <c r="B9" s="8" t="s">
        <v>736</v>
      </c>
      <c r="C9" s="8" t="s">
        <v>1535</v>
      </c>
      <c r="D9" s="48" t="str">
        <f>"{""@context"":""https://schema.org"",""@graph"":[{""@type"":""WebPage"",""@id"":""https://remaxforge.com/nellore/#webpage"",""url"":""https://remaxforge.com/nellore/"",""name"":"""&amp;SUBSTITUTE(SUBSTITUTE(SUBSTITUTE('6. On-Page Specs'!$F$8,"\","\\"),CHAR(34),"\"&amp;CHAR(34)),CHAR(10)," ")&amp;""",""description"":"""&amp;SUBSTITUTE(SUBSTITUTE(SUBSTITUTE('6. On-Page Specs'!$I$8,"\","\\"),CHAR(34),"\"&amp;CHAR(34)),CHAR(10)," ")&amp;""",""isPartOf"":{""@id"":""https://remaxforge.com/#website""},""about"":{""@id"":""https://remaxforge.com/#organization""},""breadcrumb"":{""@id"":""https://remaxforge.com/nellore/#breadcrumb""},""inLanguage"":""en-IN""},{"""&amp;"@type"":""BreadcrumbList"",""@id"":""https://remaxforge.com/nellore/#breadcrumb"",""itemListElement"":[{""@type"":""ListItem"",""position"":1,""name"":""Home"",""item"":""https://remaxforge.com/""},{""@type"":""ListItem"",""posi"&amp;"tion"":2,""name"":""Areas We Supply"",""item"":""https://remaxforge.com/market-area/""},{""@type"":""ListItem"",""position"":3,""name"":""Andhra Pradesh"",""item"":""https://remaxforge.com/market-area/andhra-pradesh/""},{""@"&amp;"type"":""ListItem"",""position"":4,""name"":""Nellore"",""item"":""https://remaxforge.com/nellore/""}]},{""@type"":""Service"",""@id"":""https://remaxforge.com/nellore/#service"",""name"":""Flange supply to Nellore"",""service"&amp;"Type"":""Forged pipe flange manufacturing and supply"",""provider"":{""@id"":""https://remaxforge.com/#organization""},""areaServed"":[{""@type"":""City"",""name"":""Nellore"",""containedInPlace"":{""@type"":""State"",""name"":"&amp;"""Andhra Pradesh""}},{""@type"":""AdministrativeArea"",""name"":""Nellore district""}],""availableChannel"":{""@type"":""ServiceChannel"",""name"":""Online request for quotation"",""serviceUrl"":""https://remaxforge.com/nel"&amp;"lore/#rfq""},""url"":""https://remaxforge.com/nellore/""},{""@type"":""FAQPage"",""@id"":""https://remaxforge.com/nellore/#faq"",""mainEntity"":[{""@type"":""Question"",""name"":"""&amp;SUBSTITUTE(SUBSTITUTE(SUBSTITUTE('9. FAQs (Paste)'!$D$24,"\","\\"),CHAR(34),"\"&amp;CHAR(34)),CHAR(10)," ")&amp;""",""acceptedAnswer"":{""@type"":""Answer"",""text"":"""&amp;SUBSTITUTE(SUBSTITUTE(SUBSTITUTE('9. FAQs (Paste)'!$E$24,"\","\\"),CHAR(34),"\"&amp;CHAR(34)),CHAR(10)," ")&amp;"""}},{""@type"":""Question"",""name"":"""&amp;SUBSTITUTE(SUBSTITUTE(SUBSTITUTE('9. FAQs (Paste)'!$D$25,"\","\\"),CHAR(34),"\"&amp;CHAR(34)),CHAR(10)," ")&amp;""",""acceptedAnswer"":{""@type"":""Answer"",""text"":"""&amp;SUBSTITUTE(SUBSTITUTE(SUBSTITUTE('9. FAQs (Paste)'!$E$25,"\","\\"),CHAR(34),"\"&amp;CHAR(34)),CHAR(10)," ")&amp;"""}},{""@type"":""Question"",""name"":"""&amp;SUBSTITUTE(SUBSTITUTE(SUBSTITUTE('9. FAQs (Paste)'!$D$26,"\","\\"),CHAR(34),"\"&amp;CHAR(34)),CHAR(10)," ")&amp;""",""acceptedAnswer"":{""@type"":""Answer"",""text"":"""&amp;SUBSTITUTE(SUBSTITUTE(SUBSTITUTE('9. FAQs (Paste)'!$E$26,"\","\\"),CHAR(34),"\"&amp;CHAR(34)),CHAR(10)," ")&amp;"""}},{""@type"":""Question"",""name"":"""&amp;SUBSTITUTE(SUBSTITUTE(SUBSTITUTE('9. FAQs (Paste)'!$D$27,"\","\\"),CHAR(34),"\"&amp;CHAR(34)),CHAR(10)," ")&amp;""",""acceptedAnswer"":{""@type"":""Answer"",""text"":"""&amp;SUBSTITUTE(SUBSTITUTE(SUBSTITUTE('9. FAQs (Paste)'!$E$27,"\","\\"),CHAR(34),"\"&amp;CHAR(34)),CHAR(10)," ")&amp;"""}},{""@type"":""Question"",""name"":"""&amp;SUBSTITUTE(SUBSTITUTE(SUBSTITUTE('9. FAQs (Paste)'!$D$28,"\","\\"),CHAR(34),"\"&amp;CHAR(34)),CHAR(10)," ")&amp;""",""acceptedAnswer"":{""@type"":""Answer"",""text"":"""&amp;SUBSTITUTE(SUBSTITUTE(SUBSTITUTE('9. FAQs (Paste)'!$E$28,"\","\\"),CHAR(34),"\"&amp;CHAR(34)),CHAR(10)," ")&amp;"""}},{""@type"":""Question"",""name"":"""&amp;SUBSTITUTE(SUBSTITUTE(SUBSTITUTE('9. FAQs (Paste)'!$D$29,"\","\\"),CHAR(34),"\"&amp;CHAR(34)),CHAR(10)," ")&amp;""",""acceptedAnswer"":{""@type"":""Answer"",""text"":"""&amp;SUBSTITUTE(SUBSTITUTE(SUBSTITUTE('9. FAQs (Paste)'!$E$29,"\","\\"),CHAR(34),"\"&amp;CHAR(34)),CHAR(10)," ")&amp;"""}}]}]}"</f>
        <v>{"@context":"https://schema.org","@graph":[{"@type":"WebPage","@id":"https://remaxforge.com/nellore/#webpage","url":"https://remaxforge.com/nellore/","name":"Flange Supplier in Nellore | Flanges Manufacturer","description":"Flanges for Nellore power plants, Krishnapatnam port, seafood processors and the Ramayapatnam refinery supply chain. NACE, LF2 and alloy grades.","isPartOf":{"@id":"https://remaxforge.com/#website"},"about":{"@id":"https://remaxforge.com/#organization"},"breadcrumb":{"@id":"https://remaxforge.com/nellore/#breadcrumb"},"inLanguage":"en-IN"},{"@type":"BreadcrumbList","@id":"https://remaxforge.com/nellore/#breadcrumb","itemListElement":[{"@type":"ListItem","position":1,"name":"Home","item":"https://remaxforge.com/"},{"@type":"ListItem","position":2,"name":"Areas We Supply","item":"https://remaxforge.com/market-area/"},{"@type":"ListItem","position":3,"name":"Andhra Pradesh","item":"https://remaxforge.com/market-area/andhra-pradesh/"},{"@type":"ListItem","position":4,"name":"Nellore","item":"https://remaxforge.com/nellore/"}]},{"@type":"Service","@id":"https://remaxforge.com/nellore/#service","name":"Flange supply to Nellore","serviceType":"Forged pipe flange manufacturing and supply","provider":{"@id":"https://remaxforge.com/#organization"},"areaServed":[{"@type":"City","name":"Nellore","containedInPlace":{"@type":"State","name":"Andhra Pradesh"}},{"@type":"AdministrativeArea","name":"Nellore district"}],"availableChannel":{"@type":"ServiceChannel","name":"Online request for quotation","serviceUrl":"https://remaxforge.com/nellore/#rfq"},"url":"https://remaxforge.com/nellore/"},{"@type":"FAQPage","@id":"https://remaxforge.com/nellore/#faq","mainEntity":[{"@type":"Question","name":"Are you a local flange supplier in Nellore, or do you ship from Mumbai?","acceptedAnswer":{"@type":"Answer","text":"We supply Nellore from our Mumbai unit rather than through a local stockist. For project work that means one manufacturer's certificates and marking across the whole package."}},{"@type":"Question","name":"Can you supply flange packages for the BPCL Ramayapatnam refinery project?","acceptedAnswer":{"@type":"Answer","text":"We quote to the EPC contractor's specifications and vendor document requirements. Large projects usually buy through approved vendor lists, so check the package's list first; where the owner allows new registrations we can support the process. [CLIENT: list any genuine registrations.]"}},{"@type":"Question","name":"When does a refinery line need A350 LF2 instead of A105?","acceptedAnswer":{"@type":"Answer","text":"When the design metal temperature can fall below -29 °C, which is common on LPG and other auto-refrigerating services. LF2 Class 1 is impact-tested at -46 °C."}},{"@type":"Question","name":"Do you machine ring-type joint (RTJ) flanges?","acceptedAnswer":{"@type":"Answer","text":"[CONFIRM] Yes - specify the ring number and groove finish on the enquiry."}},{"@type":"Question","name":"Which certificates do you issue?","acceptedAnswer":{"@type":"Answer","text":"[CONFIRM] EN 10204 3.1 as standard; 3.2 when a purchaser-nominated third-party inspector witnesses the tests."}},{"@type":"Question","name":"Do you supply seafood-processing plants?","acceptedAnswer":{"@type":"Answer","text":"[CONFIRM] Yes - steel flanges for ammonia refrigeration (A105 or LF2 depending on temperature), stainless flanges for process and chilled-brine lines, and super duplex where seawater wets the flange."}}]}]}</v>
      </c>
      <c r="E9" s="49">
        <f t="shared" si="1"/>
        <v>3479</v>
      </c>
      <c r="F9" s="6" t="str">
        <f t="shared" si="2"/>
        <v>OK - none</v>
      </c>
      <c r="G9" s="6" t="str">
        <f t="shared" si="3"/>
        <v>Has placeholders - fill tab 15 first</v>
      </c>
      <c r="H9" s="8" t="s">
        <v>1795</v>
      </c>
    </row>
    <row r="10" ht="150.0" customHeight="1">
      <c r="A10" s="3" t="s">
        <v>776</v>
      </c>
      <c r="B10" s="8" t="s">
        <v>777</v>
      </c>
      <c r="C10" s="8" t="s">
        <v>1535</v>
      </c>
      <c r="D10" s="48" t="str">
        <f>"{""@context"":""https://schema.org"",""@graph"":[{""@type"":""WebPage"",""@id"":""https://remaxforge.com/kurnool/#webpage"",""url"":""https://remaxforge.com/kurnool/"",""name"":"""&amp;SUBSTITUTE(SUBSTITUTE(SUBSTITUTE('6. On-Page Specs'!$F$9,"\","\\"),CHAR(34),"\"&amp;CHAR(34)),CHAR(10)," ")&amp;""",""description"":"""&amp;SUBSTITUTE(SUBSTITUTE(SUBSTITUTE('6. On-Page Specs'!$I$9,"\","\\"),CHAR(34),"\"&amp;CHAR(34)),CHAR(10)," ")&amp;""",""isPartOf"":{""@id"":""https://remaxforge.com/#website""},""about"":{""@id"":""https://remaxforge.com/#organization""},""breadcrumb"":{""@id"":""https://remaxforge.com/kurnool/#breadcrumb""},""inLanguage"":""en-IN""},{"""&amp;"@type"":""BreadcrumbList"",""@id"":""https://remaxforge.com/kurnool/#breadcrumb"",""itemListElement"":[{""@type"":""ListItem"",""position"":1,""name"":""Home"",""item"":""https://remaxforge.com/""},{""@type"":""ListItem"",""posi"&amp;"tion"":2,""name"":""Areas We Supply"",""item"":""https://remaxforge.com/market-area/""},{""@type"":""ListItem"",""position"":3,""name"":""Andhra Pradesh"",""item"":""https://remaxforge.com/market-area/andhra-pradesh/""},{""@"&amp;"type"":""ListItem"",""position"":4,""name"":""Kurnool"",""item"":""https://remaxforge.com/kurnool/""}]},{""@type"":""Service"",""@id"":""https://remaxforge.com/kurnool/#service"",""name"":""Flange supply to Kurnool"",""service"&amp;"Type"":""Forged pipe flange manufacturing and supply"",""provider"":{""@id"":""https://remaxforge.com/#organization""},""areaServed"":[{""@type"":""City"",""name"":""Kurnool"",""containedInPlace"":{""@type"":""State"",""name"":"&amp;"""Andhra Pradesh""}},{""@type"":""AdministrativeArea"",""name"":""Kurnool district""},{""@type"":""AdministrativeArea"",""name"":""Nandyal district""}],""availableChannel"":{""@type"":""ServiceChannel"",""name"":""Online reques"&amp;"t for quotation"",""serviceUrl"":""https://remaxforge.com/kurnool/#rfq""},""url"":""https://remaxforge.com/kurnool/""},{""@type"":""FAQPage"",""@id"":""https://remaxforge.com/kurnool/#faq"",""mainEntity"":[{""@type"":""Que"&amp;"stion"",""name"":"""&amp;SUBSTITUTE(SUBSTITUTE(SUBSTITUTE('9. FAQs (Paste)'!$D$30,"\","\\"),CHAR(34),"\"&amp;CHAR(34)),CHAR(10)," ")&amp;""",""acceptedAnswer"":{""@type"":""Answer"",""text"":"""&amp;SUBSTITUTE(SUBSTITUTE(SUBSTITUTE('9. FAQs (Paste)'!$E$30,"\","\\"),CHAR(34),"\"&amp;CHAR(34)),CHAR(10)," ")&amp;"""}},{""@type"":""Question"",""name"":"""&amp;SUBSTITUTE(SUBSTITUTE(SUBSTITUTE('9. FAQs (Paste)'!$D$31,"\","\\"),CHAR(34),"\"&amp;CHAR(34)),CHAR(10)," ")&amp;""",""acceptedAnswer"":{""@type"":""Answer"",""text"":"""&amp;SUBSTITUTE(SUBSTITUTE(SUBSTITUTE('9. FAQs (Paste)'!$E$31,"\","\\"),CHAR(34),"\"&amp;CHAR(34)),CHAR(10)," ")&amp;"""}},{""@type"":""Question"",""name"":"""&amp;SUBSTITUTE(SUBSTITUTE(SUBSTITUTE('9. FAQs (Paste)'!$D$32,"\","\\"),CHAR(34),"\"&amp;CHAR(34)),CHAR(10)," ")&amp;""",""acceptedAnswer"":{""@type"":""Answer"",""text"":"""&amp;SUBSTITUTE(SUBSTITUTE(SUBSTITUTE('9. FAQs (Paste)'!$E$32,"\","\\"),CHAR(34),"\"&amp;CHAR(34)),CHAR(10)," ")&amp;"""}},{""@type"":""Question"",""name"":"""&amp;SUBSTITUTE(SUBSTITUTE(SUBSTITUTE('9. FAQs (Paste)'!$D$33,"\","\\"),CHAR(34),"\"&amp;CHAR(34)),CHAR(10)," ")&amp;""",""acceptedAnswer"":{""@type"":""Answer"",""text"":"""&amp;SUBSTITUTE(SUBSTITUTE(SUBSTITUTE('9. FAQs (Paste)'!$E$33,"\","\\"),CHAR(34),"\"&amp;CHAR(34)),CHAR(10)," ")&amp;"""}},{""@type"":""Question"",""name"":"""&amp;SUBSTITUTE(SUBSTITUTE(SUBSTITUTE('9. FAQs (Paste)'!$D$34,"\","\\"),CHAR(34),"\"&amp;CHAR(34)),CHAR(10)," ")&amp;""",""acceptedAnswer"":{""@type"":""Answer"",""text"":"""&amp;SUBSTITUTE(SUBSTITUTE(SUBSTITUTE('9. FAQs (Paste)'!$E$34,"\","\\"),CHAR(34),"\"&amp;CHAR(34)),CHAR(10)," ")&amp;"""}},{""@type"":""Question"",""name"":"""&amp;SUBSTITUTE(SUBSTITUTE(SUBSTITUTE('9. FAQs (Paste)'!$D$35,"\","\\"),CHAR(34),"\"&amp;CHAR(34)),CHAR(10)," ")&amp;""",""acceptedAnswer"":{""@type"":""Answer"",""text"":"""&amp;SUBSTITUTE(SUBSTITUTE(SUBSTITUTE('9. FAQs (Paste)'!$E$35,"\","\\"),CHAR(34),"\"&amp;CHAR(34)),CHAR(10)," ")&amp;"""}}]}]}"</f>
        <v>{"@context":"https://schema.org","@graph":[{"@type":"WebPage","@id":"https://remaxforge.com/kurnool/#webpage","url":"https://remaxforge.com/kurnool/","name":"Flange Supplier in Kurnool | Flanges Manufacturer","description":"Flanges for Kurnool pumped storage, lift irrigation, solar parks and cement plants. Large-bore, AWWA, EN and IS drilling. Written quotes by email.","isPartOf":{"@id":"https://remaxforge.com/#website"},"about":{"@id":"https://remaxforge.com/#organization"},"breadcrumb":{"@id":"https://remaxforge.com/kurnool/#breadcrumb"},"inLanguage":"en-IN"},{"@type":"BreadcrumbList","@id":"https://remaxforge.com/kurnool/#breadcrumb","itemListElement":[{"@type":"ListItem","position":1,"name":"Home","item":"https://remaxforge.com/"},{"@type":"ListItem","position":2,"name":"Areas We Supply","item":"https://remaxforge.com/market-area/"},{"@type":"ListItem","position":3,"name":"Andhra Pradesh","item":"https://remaxforge.com/market-area/andhra-pradesh/"},{"@type":"ListItem","position":4,"name":"Kurnool","item":"https://remaxforge.com/kurnool/"}]},{"@type":"Service","@id":"https://remaxforge.com/kurnool/#service","name":"Flange supply to Kurnool","serviceType":"Forged pipe flange manufacturing and supply","provider":{"@id":"https://remaxforge.com/#organization"},"areaServed":[{"@type":"City","name":"Kurnool","containedInPlace":{"@type":"State","name":"Andhra Pradesh"}},{"@type":"AdministrativeArea","name":"Kurnool district"},{"@type":"AdministrativeArea","name":"Nandyal district"}],"availableChannel":{"@type":"ServiceChannel","name":"Online request for quotation","serviceUrl":"https://remaxforge.com/kurnool/#rfq"},"url":"https://remaxforge.com/kurnool/"},{"@type":"FAQPage","@id":"https://remaxforge.com/kurnool/#faq","mainEntity":[{"@type":"Question","name":"Are you a local flange supplier in Kurnool, or do you ship from Mumbai?","acceptedAnswer":{"@type":"Answer","text":"We have no office in Kurnool; flanges are made and dispatched in Mumbai and delivered to your site, so drawings and drilling questions go straight to the machine shop."}},{"@type":"Question","name":"Can you supply large-diameter flanges for lift-irrigation or pumped-storage projects?","acceptedAnswer":{"@type":"Answer","text":"[CLIENT: confirm maximum size] Yes, drilled to ASME B16.47, AWWA C207, EN 1092-1 or IS 6392 as your specification requires, in plate or forged construction."}},{"@type":"Question","name":"What is the difference between AWWA C207 and ASME B16.5 flanges?","acceptedAnswer":{"@type":"Answer","text":"AWWA C207 covers steel flanges for waterworks service from 4 inch up to 144 inch at waterworks pressures; ASME B16.5 covers NPS 1/2 to 24 in Classes 150-2500 for process piping. Up to 24 inch, AWWA C207 Class B, D and E flanges share the bolt circle and holes of ASME Class 150 (Class F matches Class 300), so they usually bolt together - the differences are thickness and pressure rating. Above 24 inch, and against EN 1092-1 PN flanges, check the drilling before ordering."}},{"@type":"Question","name":"Should I choose plate or forged flanges for PN10/PN16 water mains?","acceptedAnswer":{"@type":"Answer","text":"Plate flanges are usually adequate and more economical for low-pressure water service; forged flanges are specified where the pressure class, code or cyclic loading requires them. Follow your design specification."}},{"@type":"Question","name":"Can you drill flanges to match imported pumps or valves?","acceptedAnswer":{"@type":"Answer","text":"Yes - send the mating equipment's drilling standard or a drawing and we machine to it [CONFIRM]."}},{"@type":"Question","name":"How long does delivery to Kurnool take?","acceptedAnswer":{"@type":"Answer","text":"Typically [CLIENT: X-Y days] in transit after dispatch; made-to-order large-bore flanges have their own production time, stated in the quote."}}]}]}</v>
      </c>
      <c r="E10" s="49">
        <f t="shared" si="1"/>
        <v>3850</v>
      </c>
      <c r="F10" s="6" t="str">
        <f t="shared" si="2"/>
        <v>OK - none</v>
      </c>
      <c r="G10" s="6" t="str">
        <f t="shared" si="3"/>
        <v>Has placeholders - fill tab 15 first</v>
      </c>
      <c r="H10" s="8" t="s">
        <v>1795</v>
      </c>
    </row>
    <row r="11" ht="150.0" customHeight="1">
      <c r="A11" s="3" t="s">
        <v>802</v>
      </c>
      <c r="B11" s="8" t="s">
        <v>803</v>
      </c>
      <c r="C11" s="8" t="s">
        <v>1535</v>
      </c>
      <c r="D11" s="48" t="str">
        <f>"{""@context"":""https://schema.org"",""@graph"":[{""@type"":""WebPage"",""@id"":""https://remaxforge.com/itanagar/#webpage"",""url"":""https://remaxforge.com/itanagar/"",""name"":"""&amp;SUBSTITUTE(SUBSTITUTE(SUBSTITUTE('6. On-Page Specs'!$F$10,"\","\\"),CHAR(34),"\"&amp;CHAR(34)),CHAR(10)," ")&amp;""",""description"":"""&amp;SUBSTITUTE(SUBSTITUTE(SUBSTITUTE('6. On-Page Specs'!$I$10,"\","\\"),CHAR(34),"\"&amp;CHAR(34)),CHAR(10)," ")&amp;""",""isPartOf"":{""@id"":""https://remaxforge.com/#website""},""about"":{""@id"":""https://remaxforge.com/#organization""},""breadcrumb"":{""@id"":""https://remaxforge.com/itanagar/#breadcrumb""},""inLanguage"":""en-IN""},{"&amp;"""@type"":""BreadcrumbList"",""@id"":""https://remaxforge.com/itanagar/#breadcrumb"",""itemListElement"":[{""@type"":""ListItem"",""position"":1,""name"":""Home"",""item"":""https://remaxforge.com/""},{""@type"":""ListItem"",""po"&amp;"sition"":2,""name"":""Areas We Supply"",""item"":""https://remaxforge.com/market-area/""},{""@type"":""ListItem"",""position"":3,""name"":""Arunachal Pradesh"",""item"":""https://remaxforge.com/market-area/arunachal-prades"&amp;"h/""},{""@type"":""ListItem"",""position"":4,""name"":""Itanagar &amp; Naharlagun"",""item"":""https://remaxforge.com/itanagar/""}]},{""@type"":""Service"",""@id"":""https://remaxforge.com/itanagar/#service"",""name"":""Flange sup"&amp;"ply to Itanagar &amp; Naharlagun"",""serviceType"":""Forged pipe flange manufacturing and supply"",""provider"":{""@id"":""https://remaxforge.com/#organization""},""areaServed"":[{""@type"":""City"",""name"":""Itanagar"",""con"&amp;"tainedInPlace"":{""@type"":""State"",""name"":""Arunachal Pradesh""}},{""@type"":""City"",""name"":""Naharlagun"",""containedInPlace"":{""@type"":""State"",""name"":""Arunachal Pradesh""}}],""availableChannel"":{""@type"":""ServiceC"&amp;"hannel"",""name"":""Online request for quotation"",""serviceUrl"":""https://remaxforge.com/itanagar/#rfq""},""url"":""https://remaxforge.com/itanagar/""},{""@type"":""FAQPage"",""@id"":""https://remaxforge.com/itanagar/#"&amp;"faq"",""mainEntity"":[{""@type"":""Question"",""name"":"""&amp;SUBSTITUTE(SUBSTITUTE(SUBSTITUTE('9. FAQs (Paste)'!$D$36,"\","\\"),CHAR(34),"\"&amp;CHAR(34)),CHAR(10)," ")&amp;""",""acceptedAnswer"":{""@type"":""Answer"",""text"":"""&amp;SUBSTITUTE(SUBSTITUTE(SUBSTITUTE('9. FAQs (Paste)'!$E$36,"\","\\"),CHAR(34),"\"&amp;CHAR(34)),CHAR(10)," ")&amp;"""}},{""@type"":""Question"",""name"":"""&amp;SUBSTITUTE(SUBSTITUTE(SUBSTITUTE('9. FAQs (Paste)'!$D$37,"\","\\"),CHAR(34),"\"&amp;CHAR(34)),CHAR(10)," ")&amp;""",""acceptedAnswer"":{""@type"":""Answer"",""text"":"""&amp;SUBSTITUTE(SUBSTITUTE(SUBSTITUTE('9. FAQs (Paste)'!$E$37,"\","\\"),CHAR(34),"\"&amp;CHAR(34)),CHAR(10)," ")&amp;"""}},{""@type"":""Question"",""name"":"""&amp;SUBSTITUTE(SUBSTITUTE(SUBSTITUTE('9. FAQs (Paste)'!$D$38,"\","\\"),CHAR(34),"\"&amp;CHAR(34)),CHAR(10)," ")&amp;""",""acceptedAnswer"":{""@type"":""Answer"",""text"":"""&amp;SUBSTITUTE(SUBSTITUTE(SUBSTITUTE('9. FAQs (Paste)'!$E$38,"\","\\"),CHAR(34),"\"&amp;CHAR(34)),CHAR(10)," ")&amp;"""}},{""@type"":""Question"",""name"":"""&amp;SUBSTITUTE(SUBSTITUTE(SUBSTITUTE('9. FAQs (Paste)'!$D$39,"\","\\"),CHAR(34),"\"&amp;CHAR(34)),CHAR(10)," ")&amp;""",""acceptedAnswer"":{""@type"":""Answer"",""text"":"""&amp;SUBSTITUTE(SUBSTITUTE(SUBSTITUTE('9. FAQs (Paste)'!$E$39,"\","\\"),CHAR(34),"\"&amp;CHAR(34)),CHAR(10)," ")&amp;"""}},{""@type"":""Question"",""name"":"""&amp;SUBSTITUTE(SUBSTITUTE(SUBSTITUTE('9. FAQs (Paste)'!$D$40,"\","\\"),CHAR(34),"\"&amp;CHAR(34)),CHAR(10)," ")&amp;""",""acceptedAnswer"":{""@type"":""Answer"",""text"":"""&amp;SUBSTITUTE(SUBSTITUTE(SUBSTITUTE('9. FAQs (Paste)'!$E$40,"\","\\"),CHAR(34),"\"&amp;CHAR(34)),CHAR(10)," ")&amp;"""}},{""@type"":""Question"",""name"":"""&amp;SUBSTITUTE(SUBSTITUTE(SUBSTITUTE('9. FAQs (Paste)'!$D$41,"\","\\"),CHAR(34),"\"&amp;CHAR(34)),CHAR(10)," ")&amp;""",""acceptedAnswer"":{""@type"":""Answer"",""text"":"""&amp;SUBSTITUTE(SUBSTITUTE(SUBSTITUTE('9. FAQs (Paste)'!$E$41,"\","\\"),CHAR(34),"\"&amp;CHAR(34)),CHAR(10)," ")&amp;"""}}]}]}"</f>
        <v>{"@context":"https://schema.org","@graph":[{"@type":"WebPage","@id":"https://remaxforge.com/itanagar/#webpage","url":"https://remaxforge.com/itanagar/","name":"Flange Supplier in Itanagar &amp; Naharlagun | Manufacturer","description":"Flanges for water-supply, hospital, building and hydro projects in Itanagar and Naharlagun. Shipped from Mumbai via Guwahati. Written quotes by email.","isPartOf":{"@id":"https://remaxforge.com/#website"},"about":{"@id":"https://remaxforge.com/#organization"},"breadcrumb":{"@id":"https://remaxforge.com/itanagar/#breadcrumb"},"inLanguage":"en-IN"},{"@type":"BreadcrumbList","@id":"https://remaxforge.com/itanagar/#breadcrumb","itemListElement":[{"@type":"ListItem","position":1,"name":"Home","item":"https://remaxforge.com/"},{"@type":"ListItem","position":2,"name":"Areas We Supply","item":"https://remaxforge.com/market-area/"},{"@type":"ListItem","position":3,"name":"Arunachal Pradesh","item":"https://remaxforge.com/market-area/arunachal-pradesh/"},{"@type":"ListItem","position":4,"name":"Itanagar &amp; Naharlagun","item":"https://remaxforge.com/itanagar/"}]},{"@type":"Service","@id":"https://remaxforge.com/itanagar/#service","name":"Flange supply to Itanagar &amp; Naharlagun","serviceType":"Forged pipe flange manufacturing and supply","provider":{"@id":"https://remaxforge.com/#organization"},"areaServed":[{"@type":"City","name":"Itanagar","containedInPlace":{"@type":"State","name":"Arunachal Pradesh"}},{"@type":"City","name":"Naharlagun","containedInPlace":{"@type":"State","name":"Arunachal Pradesh"}}],"availableChannel":{"@type":"ServiceChannel","name":"Online request for quotation","serviceUrl":"https://remaxforge.com/itanagar/#rfq"},"url":"https://remaxforge.com/itanagar/"},{"@type":"FAQPage","@id":"https://remaxforge.com/itanagar/#faq","mainEntity":[{"@type":"Question","name":"Are you a local flange supplier in Itanagar, or do you ship from Mumbai?","acceptedAnswer":{"@type":"Answer","text":"There is no Remax stockist in Itanagar or Naharlagun. We plan each consignment from Mumbai to your site and send the manufacturer's certificates with it."}},{"@type":"Question","name":"How long does delivery from Mumbai to Itanagar take?","acceptedAnswer":{"@type":"Answer","text":"Typically [CLIENT: X-Y days] after dispatch by road via Guwahati; allow extra time in the monsoon."}},{"@type":"Question","name":"Does the transporter need an Inner Line Permit?","acceptedAnswer":{"@type":"Answer","text":"Yes - non-resident crews need an ILP to enter Arunachal Pradesh. Our transporters arrange it [CONFIRM], and it is built into the delivery estimate."}},{"@type":"Question","name":"Is there a minimum order for delivery to Arunachal Pradesh?","acceptedAnswer":{"@type":"Answer","text":"[CLIENT: state the minimum order value, or 'No minimum; freight is quoted at cost'.]"}},{"@type":"Question","name":"Can you supply flanges drilled to match pumps for a water-supply scheme?","acceptedAnswer":{"@type":"Answer","text":"Yes - tell us the pump or valve drilling standard (ASME, EN 1092-1 PN10/PN16 or IS 6392) and we machine to it [CONFIRM]."}},{"@type":"Question","name":"Can deliveries be combined with other Northeast orders?","acceptedAnswer":{"@type":"Answer","text":"Where timelines allow, consolidating through Guwahati usually lowers freight. Mention it in the form [CONFIRM]."}}]}]}</v>
      </c>
      <c r="E11" s="49">
        <f t="shared" si="1"/>
        <v>3336</v>
      </c>
      <c r="F11" s="6" t="str">
        <f t="shared" si="2"/>
        <v>OK - none</v>
      </c>
      <c r="G11" s="6" t="str">
        <f t="shared" si="3"/>
        <v>Has placeholders - fill tab 15 first</v>
      </c>
      <c r="H11" s="8" t="s">
        <v>1795</v>
      </c>
    </row>
    <row r="12" ht="150.0" customHeight="1">
      <c r="A12" s="3" t="s">
        <v>822</v>
      </c>
      <c r="B12" s="8" t="s">
        <v>823</v>
      </c>
      <c r="C12" s="8" t="s">
        <v>1535</v>
      </c>
      <c r="D12" s="48" t="str">
        <f>"{""@context"":""https://schema.org"",""@graph"":[{""@type"":""CollectionPage"",""@id"":""https://remaxforge.com/market-area/andhra-pradesh/#webpage"",""url"":""https://remaxforge.com/market-area/andhra-pradesh/"",""name"&amp;""":"""&amp;SUBSTITUTE(SUBSTITUTE(SUBSTITUTE('6. On-Page Specs'!$F$11,"\","\\"),CHAR(34),"\"&amp;CHAR(34)),CHAR(10)," ")&amp;""",""description"":"""&amp;SUBSTITUTE(SUBSTITUTE(SUBSTITUTE('6. On-Page Specs'!$I$11,"\","\\"),CHAR(34),"\"&amp;CHAR(34)),CHAR(10)," ")&amp;""",""isPartOf"":{""@id"":""https://remaxforge.com/#website""},""about"":{""@id"":""https://remaxforge.com/#organization""},""breadcrumb"":{""@id"":""https://remaxforge.com/market-area/andhra-pradesh/#breadcrumb""},""inLa"&amp;"nguage"":""en-IN""},{""@type"":""BreadcrumbList"",""@id"":""https://remaxforge.com/market-area/andhra-pradesh/#breadcrumb"",""itemListElement"":[{""@type"":""ListItem"",""position"":1,""name"":""Home"",""item"":""https://remax"&amp;"forge.com/""},{""@type"":""ListItem"",""position"":2,""name"":""Areas We Supply"",""item"":""https://remaxforge.com/market-area/""},{""@type"":""ListItem"",""position"":3,""name"":""Andhra Pradesh"",""item"":""https://remaxforge"&amp;".com/market-area/andhra-pradesh/""}]},{""@type"":""Service"",""@id"":""https://remaxforge.com/market-area/andhra-pradesh/#service"",""name"":""Flange supply to Andhra Pradesh"",""serviceType"":""Forged pipe flange ma"&amp;"nufacturing and supply"",""provider"":{""@id"":""https://remaxforge.com/#organization""},""areaServed"":[{""@type"":""State"",""name"":""Andhra Pradesh""}],""availableChannel"":{""@type"":""ServiceChannel"",""name"":""Online r"&amp;"equest for quotation"",""serviceUrl"":""https://remaxforge.com/market-area/andhra-pradesh/#rfq""},""url"":""https://remaxforge.com/market-area/andhra-pradesh/""},{""@type"":""FAQPage"",""@id"":""https://remaxforge.co"&amp;"m/market-area/andhra-pradesh/#faq"",""mainEntity"":[{""@type"":""Question"",""name"":"""&amp;SUBSTITUTE(SUBSTITUTE(SUBSTITUTE('9. FAQs (Paste)'!$D$42,"\","\\"),CHAR(34),"\"&amp;CHAR(34)),CHAR(10)," ")&amp;""",""acceptedAnswer"":{""@type"":""Answer"",""text"":"""&amp;SUBSTITUTE(SUBSTITUTE(SUBSTITUTE('9. FAQs (Paste)'!$E$42,"\","\\"),CHAR(34),"\"&amp;CHAR(34)),CHAR(10)," ")&amp;"""}},{""@type"":""Question"",""name"":"""&amp;SUBSTITUTE(SUBSTITUTE(SUBSTITUTE('9. FAQs (Paste)'!$D$43,"\","\\"),CHAR(34),"\"&amp;CHAR(34)),CHAR(10)," ")&amp;""",""acceptedAnswer"":{""@type"":""Answer"",""text"":"""&amp;SUBSTITUTE(SUBSTITUTE(SUBSTITUTE('9. FAQs (Paste)'!$E$43,"\","\\"),CHAR(34),"\"&amp;CHAR(34)),CHAR(10)," ")&amp;"""}},{""@type"":""Question"",""name"":"""&amp;SUBSTITUTE(SUBSTITUTE(SUBSTITUTE('9. FAQs (Paste)'!$D$44,"\","\\"),CHAR(34),"\"&amp;CHAR(34)),CHAR(10)," ")&amp;""",""acceptedAnswer"":{""@type"":""Answer"",""text"":"""&amp;SUBSTITUTE(SUBSTITUTE(SUBSTITUTE('9. FAQs (Paste)'!$E$44,"\","\\"),CHAR(34),"\"&amp;CHAR(34)),CHAR(10)," ")&amp;"""}},{""@type"":""Question"",""name"":"""&amp;SUBSTITUTE(SUBSTITUTE(SUBSTITUTE('9. FAQs (Paste)'!$D$45,"\","\\"),CHAR(34),"\"&amp;CHAR(34)),CHAR(10)," ")&amp;""",""acceptedAnswer"":{""@type"":""Answer"",""text"":"""&amp;SUBSTITUTE(SUBSTITUTE(SUBSTITUTE('9. FAQs (Paste)'!$E$45,"\","\\"),CHAR(34),"\"&amp;CHAR(34)),CHAR(10)," ")&amp;"""}},{""@type"":""Question"",""name"":"""&amp;SUBSTITUTE(SUBSTITUTE(SUBSTITUTE('9. FAQs (Paste)'!$D$46,"\","\\"),CHAR(34),"\"&amp;CHAR(34)),CHAR(10)," ")&amp;""",""acceptedAnswer"":{""@type"":""Answer"",""text"":"""&amp;SUBSTITUTE(SUBSTITUTE(SUBSTITUTE('9. FAQs (Paste)'!$E$46,"\","\\"),CHAR(34),"\"&amp;CHAR(34)),CHAR(10)," ")&amp;"""}}]}]}"</f>
        <v>{"@context":"https://schema.org","@graph":[{"@type":"CollectionPage","@id":"https://remaxforge.com/market-area/andhra-pradesh/#webpage","url":"https://remaxforge.com/market-area/andhra-pradesh/","name":"Flange Supplier in Andhra Pradesh | Flanges Manufacturer","description":"Forged flanges across Andhra Pradesh: Vizag steel and refinery belt, Nellore ports, Amaravati works, Kurnool pumped storage. Written quotes by email.","isPartOf":{"@id":"https://remaxforge.com/#website"},"about":{"@id":"https://remaxforge.com/#organization"},"breadcrumb":{"@id":"https://remaxforge.com/market-area/andhra-pradesh/#breadcrumb"},"inLanguage":"en-IN"},{"@type":"BreadcrumbList","@id":"https://remaxforge.com/market-area/andhra-pradesh/#breadcrumb","itemListElement":[{"@type":"ListItem","position":1,"name":"Home","item":"https://remaxforge.com/"},{"@type":"ListItem","position":2,"name":"Areas We Supply","item":"https://remaxforge.com/market-area/"},{"@type":"ListItem","position":3,"name":"Andhra Pradesh","item":"https://remaxforge.com/market-area/andhra-pradesh/"}]},{"@type":"Service","@id":"https://remaxforge.com/market-area/andhra-pradesh/#service","name":"Flange supply to Andhra Pradesh","serviceType":"Forged pipe flange manufacturing and supply","provider":{"@id":"https://remaxforge.com/#organization"},"areaServed":[{"@type":"State","name":"Andhra Pradesh"}],"availableChannel":{"@type":"ServiceChannel","name":"Online request for quotation","serviceUrl":"https://remaxforge.com/market-area/andhra-pradesh/#rfq"},"url":"https://remaxforge.com/market-area/andhra-pradesh/"},{"@type":"FAQPage","@id":"https://remaxforge.com/market-area/andhra-pradesh/#faq","mainEntity":[{"@type":"Question","name":"Which Andhra Pradesh cities do you deliver to?","acceptedAnswer":{"@type":"Answer","text":"Anywhere in the state by road from Mumbai. Our city pages cover Visakhapatnam, Vijayawada, Guntur, Nellore and Kurnool in detail; other locations are quoted the same way."}},{"@type":"Question","name":"Do you charge IGST on supplies to Andhra Pradesh?","acceptedAnswer":{"@type":"Answer","text":"Yes. Supplies from Maharashtra into Andhra Pradesh are inter-state, so GST is charged as IGST at the applicable rate."}},{"@type":"Question","name":"Can I get one quote for several sites in Andhra Pradesh?","acceptedAnswer":{"@type":"Answer","text":"Yes - list the delivery location against each line of your BOQ and we price freight per site."}},{"@type":"Question","name":"Do you supply government and PSU projects?","acceptedAnswer":{"@type":"Answer","text":"We supply the contractors who execute them, against the project specification. Where a project buys only from an approved vendor list, check that list first. [CLIENT: add genuine registrations, if any.]"}},{"@type":"Question","name":"How do I send a BOQ or drawing?","acceptedAnswer":{"@type":"Answer","text":"Upload it in the form on this page (PDF, Excel or drawing files). We reply by email with a line-by-line quote."}}]}]}</v>
      </c>
      <c r="E12" s="49">
        <f t="shared" si="1"/>
        <v>2978</v>
      </c>
      <c r="F12" s="6" t="str">
        <f t="shared" si="2"/>
        <v>OK - none</v>
      </c>
      <c r="G12" s="6" t="str">
        <f t="shared" si="3"/>
        <v>Has placeholders - fill tab 15 first</v>
      </c>
      <c r="H12" s="8" t="s">
        <v>2640</v>
      </c>
    </row>
    <row r="13" ht="150.0" customHeight="1">
      <c r="A13" s="3" t="s">
        <v>845</v>
      </c>
      <c r="B13" s="8" t="s">
        <v>846</v>
      </c>
      <c r="C13" s="8" t="s">
        <v>1535</v>
      </c>
      <c r="D13" s="48" t="str">
        <f>"{""@context"":""https://schema.org"",""@graph"":[{""@type"":""CollectionPage"",""@id"":""https://remaxforge.com/market-area/arunachal-pradesh/#webpage"",""url"":""https://remaxforge.com/market-area/arunachal-pradesh/"""&amp;",""name"":"""&amp;SUBSTITUTE(SUBSTITUTE(SUBSTITUTE('6. On-Page Specs'!$F$12,"\","\\"),CHAR(34),"\"&amp;CHAR(34)),CHAR(10)," ")&amp;""",""description"":"""&amp;SUBSTITUTE(SUBSTITUTE(SUBSTITUTE('6. On-Page Specs'!$I$12,"\","\\"),CHAR(34),"\"&amp;CHAR(34)),CHAR(10)," ")&amp;""",""isPartOf"":{""@id"":""https://remaxforge.com/#website""},""about"":{""@id"":""https://remaxforge.com/#organization""},""breadcrumb"":{""@id"":""https://remaxforge.com/market-area/arunachal-pradesh/#breadcrumb""},""i"&amp;"nLanguage"":""en-IN""},{""@type"":""BreadcrumbList"",""@id"":""https://remaxforge.com/market-area/arunachal-pradesh/#breadcrumb"",""itemListElement"":[{""@type"":""ListItem"",""position"":1,""name"":""Home"",""item"":""https:/"&amp;"/remaxforge.com/""},{""@type"":""ListItem"",""position"":2,""name"":""Areas We Supply"",""item"":""https://remaxforge.com/market-area/""},{""@type"":""ListItem"",""position"":3,""name"":""Arunachal Pradesh"",""item"":""https://r"&amp;"emaxforge.com/market-area/arunachal-pradesh/""}]},{""@type"":""Service"",""@id"":""https://remaxforge.com/market-area/arunachal-pradesh/#service"",""name"":""Flange supply to Arunachal Pradesh"",""serviceType"":""For"&amp;"ged pipe flange manufacturing and supply"",""provider"":{""@id"":""https://remaxforge.com/#organization""},""areaServed"":[{""@type"":""State"",""name"":""Arunachal Pradesh""},{""@type"":""City"",""name"":""Tawang"",""containe"&amp;"dInPlace"":{""@type"":""State"",""name"":""Arunachal Pradesh""}},{""@type"":""City"",""name"":""Ziro"",""containedInPlace"":{""@type"":""State"",""name"":""Arunachal Pradesh""}},{""@type"":""City"",""name"":""Pasighat"",""containedInPla"&amp;"ce"":{""@type"":""State"",""name"":""Arunachal Pradesh""}}],""availableChannel"":{""@type"":""ServiceChannel"",""name"":""Online request for quotation"",""serviceUrl"":""https://remaxforge.com/market-area/arunachal-pradesh"&amp;"/#rfq""},""url"":""https://remaxforge.com/market-area/arunachal-pradesh/""},{""@type"":""FAQPage"",""@id"":""https://remaxforge.com/market-area/arunachal-pradesh/#faq"",""mainEntity"":[{""@type"":""Question"",""name"":"""&amp;SUBSTITUTE(SUBSTITUTE(SUBSTITUTE('9. FAQs (Paste)'!$D$47,"\","\\"),CHAR(34),"\"&amp;CHAR(34)),CHAR(10)," ")&amp;""",""acceptedAnswer"":{""@type"":""Answer"",""text"":"""&amp;SUBSTITUTE(SUBSTITUTE(SUBSTITUTE('9. FAQs (Paste)'!$E$47,"\","\\"),CHAR(34),"\"&amp;CHAR(34)),CHAR(10)," ")&amp;"""}},{""@type"":""Question"",""name"":"""&amp;SUBSTITUTE(SUBSTITUTE(SUBSTITUTE('9. FAQs (Paste)'!$D$48,"\","\\"),CHAR(34),"\"&amp;CHAR(34)),CHAR(10)," ")&amp;""",""acceptedAnswer"":{""@type"":""Answer"",""text"":"""&amp;SUBSTITUTE(SUBSTITUTE(SUBSTITUTE('9. FAQs (Paste)'!$E$48,"\","\\"),CHAR(34),"\"&amp;CHAR(34)),CHAR(10)," ")&amp;"""}},{""@type"":""Question"",""name"":"""&amp;SUBSTITUTE(SUBSTITUTE(SUBSTITUTE('9. FAQs (Paste)'!$D$49,"\","\\"),CHAR(34),"\"&amp;CHAR(34)),CHAR(10)," ")&amp;""",""acceptedAnswer"":{""@type"":""Answer"",""text"":"""&amp;SUBSTITUTE(SUBSTITUTE(SUBSTITUTE('9. FAQs (Paste)'!$E$49,"\","\\"),CHAR(34),"\"&amp;CHAR(34)),CHAR(10)," ")&amp;"""}},{""@type"":""Question"",""name"":"""&amp;SUBSTITUTE(SUBSTITUTE(SUBSTITUTE('9. FAQs (Paste)'!$D$50,"\","\\"),CHAR(34),"\"&amp;CHAR(34)),CHAR(10)," ")&amp;""",""acceptedAnswer"":{""@type"":""Answer"",""text"":"""&amp;SUBSTITUTE(SUBSTITUTE(SUBSTITUTE('9. FAQs (Paste)'!$E$50,"\","\\"),CHAR(34),"\"&amp;CHAR(34)),CHAR(10)," ")&amp;"""}}]}]}"</f>
        <v>{"@context":"https://schema.org","@graph":[{"@type":"CollectionPage","@id":"https://remaxforge.com/market-area/arunachal-pradesh/#webpage","url":"https://remaxforge.com/market-area/arunachal-pradesh/","name":"Flange Supplier in Arunachal Pradesh | Itanagar to Tawang","description":"Flanges for hydro, water-supply and building projects in Arunachal Pradesh: Itanagar, Tawang, Ziro, Pasighat. Shipped via Guwahati. Quotes by email.","isPartOf":{"@id":"https://remaxforge.com/#website"},"about":{"@id":"https://remaxforge.com/#organization"},"breadcrumb":{"@id":"https://remaxforge.com/market-area/arunachal-pradesh/#breadcrumb"},"inLanguage":"en-IN"},{"@type":"BreadcrumbList","@id":"https://remaxforge.com/market-area/arunachal-pradesh/#breadcrumb","itemListElement":[{"@type":"ListItem","position":1,"name":"Home","item":"https://remaxforge.com/"},{"@type":"ListItem","position":2,"name":"Areas We Supply","item":"https://remaxforge.com/market-area/"},{"@type":"ListItem","position":3,"name":"Arunachal Pradesh","item":"https://remaxforge.com/market-area/arunachal-pradesh/"}]},{"@type":"Service","@id":"https://remaxforge.com/market-area/arunachal-pradesh/#service","name":"Flange supply to Arunachal Pradesh","serviceType":"Forged pipe flange manufacturing and supply","provider":{"@id":"https://remaxforge.com/#organization"},"areaServed":[{"@type":"State","name":"Arunachal Pradesh"},{"@type":"City","name":"Tawang","containedInPlace":{"@type":"State","name":"Arunachal Pradesh"}},{"@type":"City","name":"Ziro","containedInPlace":{"@type":"State","name":"Arunachal Pradesh"}},{"@type":"City","name":"Pasighat","containedInPlace":{"@type":"State","name":"Arunachal Pradesh"}}],"availableChannel":{"@type":"ServiceChannel","name":"Online request for quotation","serviceUrl":"https://remaxforge.com/market-area/arunachal-pradesh/#rfq"},"url":"https://remaxforge.com/market-area/arunachal-pradesh/"},{"@type":"FAQPage","@id":"https://remaxforge.com/market-area/arunachal-pradesh/#faq","mainEntity":[{"@type":"Question","name":"Do you deliver to Tawang in winter?","acceptedAnswer":{"@type":"Answer","text":"Yes, weather permitting. Snow on the route can delay trucks, so tell us your required date and we will advise the latest safe dispatch date [CLIENT: confirm]."}},{"@type":"Question","name":"Which flanges suit sub-zero outdoor service?","acceptedAnswer":{"@type":"Answer","text":"ASME B16.5 ratings are tabulated from -29 °C. If an exposed line's design metal temperature can go lower, specify impact-tested A350 LF2; otherwise A105 is the standard carbon-steel grade."}},{"@type":"Question","name":"How are small orders to district towns priced?","acceptedAnswer":{"@type":"Answer","text":"Material is priced per line and freight is shown separately; consolidating through Guwahati or combining with a capital-region delivery often lowers the freight [CONFIRM]."}},{"@type":"Question","name":"Do you have a stockist in Arunachal Pradesh?","acceptedAnswer":{"@type":"Answer","text":"No. We supply directly from our Mumbai unit and send the manufacturer's certificates with every delivery."}}]}]}</v>
      </c>
      <c r="E13" s="49">
        <f t="shared" si="1"/>
        <v>3103</v>
      </c>
      <c r="F13" s="6" t="str">
        <f t="shared" si="2"/>
        <v>OK - none</v>
      </c>
      <c r="G13" s="6" t="str">
        <f t="shared" si="3"/>
        <v>Has placeholders - fill tab 15 first</v>
      </c>
      <c r="H13" s="8" t="s">
        <v>2640</v>
      </c>
    </row>
    <row r="14" ht="150.0" customHeight="1">
      <c r="A14" s="3" t="s">
        <v>862</v>
      </c>
      <c r="B14" s="8" t="s">
        <v>864</v>
      </c>
      <c r="C14" s="8" t="s">
        <v>1535</v>
      </c>
      <c r="D14" s="48" t="str">
        <f>"{""@context"":""https://schema.org"",""@graph"":[{""@type"":""CollectionPage"",""@id"":""https://remaxforge.com/market-area/#webpage"",""url"":""https://remaxforge.com/market-area/"",""name"":"""&amp;SUBSTITUTE(SUBSTITUTE(SUBSTITUTE('6. On-Page Specs'!$F$13,"\","\\"),CHAR(34),"\"&amp;CHAR(34)),CHAR(10)," ")&amp;""",""description"":"""&amp;SUBSTITUTE(SUBSTITUTE(SUBSTITUTE('6. On-Page Specs'!$I$13,"\","\\"),CHAR(34),"\"&amp;CHAR(34)),CHAR(10)," ")&amp;""",""isPartOf"":{""@id"":""https://remaxforge.com/#website""},""about"":{""@id"":""https://remaxforge.com/#organization""},""breadcrumb"":{""@id"":""https://remaxforge.com/market-area/#breadcrumb""},""inLanguage"":""en-IN"""&amp;"},{""@type"":""BreadcrumbList"",""@id"":""https://remaxforge.com/market-area/#breadcrumb"",""itemListElement"":[{""@type"":""ListItem"",""position"":1,""name"":""Home"",""item"":""https://remaxforge.com/""},{""@type"":""ListIte"&amp;"m"",""position"":2,""name"":""Areas We Supply"",""item"":""https://remaxforge.com/market-area/""}]}]}"</f>
        <v>{"@context":"https://schema.org","@graph":[{"@type":"CollectionPage","@id":"https://remaxforge.com/market-area/#webpage","url":"https://remaxforge.com/market-area/","name":"Flange Supply Areas Across India | Remax Forge &amp; Fittings","description":"See the states and cities we deliver forged flanges to from Mumbai, with local industries, delivery times and documents. Written quotes by email.","isPartOf":{"@id":"https://remaxforge.com/#website"},"about":{"@id":"https://remaxforge.com/#organization"},"breadcrumb":{"@id":"https://remaxforge.com/market-area/#breadcrumb"},"inLanguage":"en-IN"},{"@type":"BreadcrumbList","@id":"https://remaxforge.com/market-area/#breadcrumb","itemListElement":[{"@type":"ListItem","position":1,"name":"Home","item":"https://remaxforge.com/"},{"@type":"ListItem","position":2,"name":"Areas We Supply","item":"https://remaxforge.com/market-area/"}]}]}</v>
      </c>
      <c r="E14" s="49">
        <f t="shared" si="1"/>
        <v>882</v>
      </c>
      <c r="F14" s="6" t="str">
        <f t="shared" si="2"/>
        <v>OK - none</v>
      </c>
      <c r="G14" s="6" t="str">
        <f t="shared" si="3"/>
        <v>None</v>
      </c>
      <c r="H14" s="8" t="s">
        <v>2641</v>
      </c>
    </row>
    <row r="16" ht="18.0" customHeight="1">
      <c r="A16" s="11" t="s">
        <v>2642</v>
      </c>
      <c r="B16" s="12"/>
      <c r="C16" s="12"/>
      <c r="D16" s="12"/>
      <c r="E16" s="12"/>
      <c r="F16" s="12"/>
      <c r="G16" s="12"/>
      <c r="H16" s="12"/>
    </row>
    <row r="17" ht="18.0" customHeight="1">
      <c r="A17" s="28" t="s">
        <v>2643</v>
      </c>
    </row>
    <row r="18" ht="18.0" customHeight="1">
      <c r="A18" s="28" t="s">
        <v>2644</v>
      </c>
    </row>
    <row r="19" ht="18.0" customHeight="1">
      <c r="A19" s="28" t="s">
        <v>2645</v>
      </c>
    </row>
    <row r="20" ht="18.0" customHeight="1">
      <c r="A20" s="28" t="s">
        <v>2646</v>
      </c>
    </row>
    <row r="21" ht="18.0" customHeight="1">
      <c r="A21" s="28" t="s">
        <v>2647</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7:H17"/>
    <mergeCell ref="A18:H18"/>
    <mergeCell ref="A19:H19"/>
    <mergeCell ref="A20:H20"/>
    <mergeCell ref="A21:H21"/>
  </mergeCells>
  <conditionalFormatting sqref="F5:F14">
    <cfRule type="expression" dxfId="0" priority="1">
      <formula>F5="OK - none"</formula>
    </cfRule>
  </conditionalFormatting>
  <conditionalFormatting sqref="F5:F14">
    <cfRule type="expression" dxfId="2" priority="2">
      <formula>AND(F5&lt;&gt;"",NOT(F5="OK - none"))</formula>
    </cfRule>
  </conditionalFormatting>
  <conditionalFormatting sqref="G5:G14">
    <cfRule type="expression" dxfId="0" priority="3">
      <formula>G5="None"</formula>
    </cfRule>
  </conditionalFormatting>
  <conditionalFormatting sqref="G5:G14">
    <cfRule type="expression" dxfId="2" priority="4">
      <formula>AND(G5&lt;&gt;"",NOT(G5="None"))</formula>
    </cfRule>
  </conditionalFormatting>
  <printOptions/>
  <pageMargins bottom="1.0" footer="0.0" header="0.0" left="0.75" right="0.75" top="1.0"/>
  <pageSetup fitToHeight="0" paperSize="9"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5.0" topLeftCell="A6" activePane="bottomLeft" state="frozen"/>
      <selection activeCell="B7" sqref="B7" pane="bottomLeft"/>
    </sheetView>
  </sheetViews>
  <sheetFormatPr customHeight="1" defaultColWidth="14.43" defaultRowHeight="15.0"/>
  <cols>
    <col customWidth="1" min="1" max="1" width="6.0"/>
    <col customWidth="1" min="2" max="2" width="34.0"/>
    <col customWidth="1" min="3" max="4" width="36.0"/>
    <col customWidth="1" min="5" max="5" width="30.0"/>
    <col customWidth="1" min="6" max="6" width="44.0"/>
    <col customWidth="1" min="7" max="7" width="36.0"/>
    <col customWidth="1" min="8" max="8" width="48.0"/>
    <col customWidth="1" min="9" max="26" width="8.71"/>
  </cols>
  <sheetData>
    <row r="1" ht="21.75" customHeight="1">
      <c r="A1" s="1" t="s">
        <v>1458</v>
      </c>
    </row>
    <row r="2">
      <c r="A2" s="2" t="s">
        <v>1459</v>
      </c>
    </row>
    <row r="4" ht="18.0" customHeight="1">
      <c r="A4" s="11" t="s">
        <v>1460</v>
      </c>
      <c r="B4" s="12"/>
      <c r="C4" s="12"/>
      <c r="D4" s="12"/>
      <c r="E4" s="12"/>
      <c r="F4" s="12"/>
      <c r="G4" s="12"/>
      <c r="H4" s="12"/>
    </row>
    <row r="5" ht="30.0" customHeight="1">
      <c r="A5" s="4" t="s">
        <v>9</v>
      </c>
      <c r="B5" s="4" t="s">
        <v>1461</v>
      </c>
      <c r="C5" s="4" t="s">
        <v>1462</v>
      </c>
      <c r="D5" s="4" t="s">
        <v>1463</v>
      </c>
      <c r="E5" s="4" t="s">
        <v>1464</v>
      </c>
      <c r="F5" s="4" t="s">
        <v>163</v>
      </c>
      <c r="G5" s="4" t="s">
        <v>1465</v>
      </c>
      <c r="H5" s="4" t="s">
        <v>440</v>
      </c>
    </row>
    <row r="6" ht="53.25" customHeight="1">
      <c r="A6" s="6">
        <v>1.0</v>
      </c>
      <c r="B6" s="8" t="s">
        <v>42</v>
      </c>
      <c r="C6" s="3" t="s">
        <v>756</v>
      </c>
      <c r="D6" s="8" t="s">
        <v>1468</v>
      </c>
      <c r="E6" s="8" t="s">
        <v>1469</v>
      </c>
      <c r="F6" s="24" t="s">
        <v>211</v>
      </c>
      <c r="G6" s="6" t="str">
        <f t="shared" ref="G6:G48" si="1">IF(LEFT(C6,1)&lt;&gt;"/","n/a",IF(RIGHT(C6,1)="/","OK","FIX - add /"))</f>
        <v>OK</v>
      </c>
      <c r="H6" s="8" t="s">
        <v>1472</v>
      </c>
    </row>
    <row r="7" ht="40.5" customHeight="1">
      <c r="A7" s="6">
        <v>2.0</v>
      </c>
      <c r="B7" s="8" t="s">
        <v>42</v>
      </c>
      <c r="C7" s="3" t="s">
        <v>137</v>
      </c>
      <c r="D7" s="8" t="s">
        <v>1473</v>
      </c>
      <c r="E7" s="8" t="s">
        <v>1469</v>
      </c>
      <c r="F7" s="24" t="s">
        <v>211</v>
      </c>
      <c r="G7" s="6" t="str">
        <f t="shared" si="1"/>
        <v>OK</v>
      </c>
      <c r="H7" s="8"/>
    </row>
    <row r="8" ht="60.0" customHeight="1">
      <c r="A8" s="6">
        <v>3.0</v>
      </c>
      <c r="B8" s="8" t="s">
        <v>42</v>
      </c>
      <c r="C8" s="3" t="s">
        <v>1475</v>
      </c>
      <c r="D8" s="8" t="s">
        <v>1476</v>
      </c>
      <c r="E8" s="8" t="s">
        <v>1469</v>
      </c>
      <c r="F8" s="24" t="s">
        <v>211</v>
      </c>
      <c r="G8" s="6" t="str">
        <f t="shared" si="1"/>
        <v>OK</v>
      </c>
      <c r="H8" s="8"/>
    </row>
    <row r="9" ht="40.5" customHeight="1">
      <c r="A9" s="6">
        <v>4.0</v>
      </c>
      <c r="B9" s="8" t="s">
        <v>42</v>
      </c>
      <c r="C9" s="3" t="s">
        <v>1477</v>
      </c>
      <c r="D9" s="8" t="s">
        <v>1478</v>
      </c>
      <c r="E9" s="8" t="s">
        <v>1469</v>
      </c>
      <c r="F9" s="24" t="s">
        <v>211</v>
      </c>
      <c r="G9" s="6" t="str">
        <f t="shared" si="1"/>
        <v>OK</v>
      </c>
      <c r="H9" s="8"/>
    </row>
    <row r="10" ht="40.5" customHeight="1">
      <c r="A10" s="6">
        <v>5.0</v>
      </c>
      <c r="B10" s="8" t="s">
        <v>42</v>
      </c>
      <c r="C10" s="3" t="s">
        <v>1480</v>
      </c>
      <c r="D10" s="8" t="s">
        <v>1481</v>
      </c>
      <c r="E10" s="8" t="s">
        <v>1469</v>
      </c>
      <c r="F10" s="24" t="s">
        <v>211</v>
      </c>
      <c r="G10" s="6" t="str">
        <f t="shared" si="1"/>
        <v>OK</v>
      </c>
      <c r="H10" s="8"/>
    </row>
    <row r="11" ht="60.0" customHeight="1">
      <c r="A11" s="6">
        <v>6.0</v>
      </c>
      <c r="B11" s="8" t="s">
        <v>42</v>
      </c>
      <c r="C11" s="3" t="s">
        <v>1482</v>
      </c>
      <c r="D11" s="8" t="s">
        <v>1483</v>
      </c>
      <c r="E11" s="8" t="s">
        <v>1484</v>
      </c>
      <c r="F11" s="24" t="s">
        <v>211</v>
      </c>
      <c r="G11" s="6" t="str">
        <f t="shared" si="1"/>
        <v>OK</v>
      </c>
      <c r="H11" s="8" t="s">
        <v>1487</v>
      </c>
    </row>
    <row r="12" ht="53.25" customHeight="1">
      <c r="A12" s="6">
        <v>7.0</v>
      </c>
      <c r="B12" s="8" t="s">
        <v>75</v>
      </c>
      <c r="C12" s="3" t="s">
        <v>756</v>
      </c>
      <c r="D12" s="8" t="s">
        <v>1468</v>
      </c>
      <c r="E12" s="8" t="s">
        <v>1469</v>
      </c>
      <c r="F12" s="24" t="s">
        <v>211</v>
      </c>
      <c r="G12" s="6" t="str">
        <f t="shared" si="1"/>
        <v>OK</v>
      </c>
      <c r="H12" s="8" t="s">
        <v>1472</v>
      </c>
    </row>
    <row r="13" ht="40.5" customHeight="1">
      <c r="A13" s="6">
        <v>8.0</v>
      </c>
      <c r="B13" s="8" t="s">
        <v>75</v>
      </c>
      <c r="C13" s="3" t="s">
        <v>106</v>
      </c>
      <c r="D13" s="8" t="s">
        <v>92</v>
      </c>
      <c r="E13" s="8" t="s">
        <v>1469</v>
      </c>
      <c r="F13" s="24" t="s">
        <v>211</v>
      </c>
      <c r="G13" s="6" t="str">
        <f t="shared" si="1"/>
        <v>OK</v>
      </c>
      <c r="H13" s="8"/>
    </row>
    <row r="14" ht="40.5" customHeight="1">
      <c r="A14" s="6">
        <v>9.0</v>
      </c>
      <c r="B14" s="8" t="s">
        <v>75</v>
      </c>
      <c r="C14" s="3" t="s">
        <v>1480</v>
      </c>
      <c r="D14" s="8" t="s">
        <v>1481</v>
      </c>
      <c r="E14" s="8" t="s">
        <v>1469</v>
      </c>
      <c r="F14" s="24" t="s">
        <v>211</v>
      </c>
      <c r="G14" s="6" t="str">
        <f t="shared" si="1"/>
        <v>OK</v>
      </c>
      <c r="H14" s="8"/>
    </row>
    <row r="15" ht="53.25" customHeight="1">
      <c r="A15" s="6">
        <v>10.0</v>
      </c>
      <c r="B15" s="8" t="s">
        <v>75</v>
      </c>
      <c r="C15" s="3" t="s">
        <v>165</v>
      </c>
      <c r="D15" s="8" t="s">
        <v>1492</v>
      </c>
      <c r="E15" s="8" t="s">
        <v>1469</v>
      </c>
      <c r="F15" s="24" t="s">
        <v>211</v>
      </c>
      <c r="G15" s="6" t="str">
        <f t="shared" si="1"/>
        <v>OK</v>
      </c>
      <c r="H15" s="8"/>
    </row>
    <row r="16" ht="60.0" customHeight="1">
      <c r="A16" s="6">
        <v>11.0</v>
      </c>
      <c r="B16" s="8" t="s">
        <v>75</v>
      </c>
      <c r="C16" s="3" t="s">
        <v>1482</v>
      </c>
      <c r="D16" s="8" t="s">
        <v>1483</v>
      </c>
      <c r="E16" s="8" t="s">
        <v>1484</v>
      </c>
      <c r="F16" s="24" t="s">
        <v>211</v>
      </c>
      <c r="G16" s="6" t="str">
        <f t="shared" si="1"/>
        <v>OK</v>
      </c>
      <c r="H16" s="8" t="s">
        <v>1487</v>
      </c>
    </row>
    <row r="17" ht="53.25" customHeight="1">
      <c r="A17" s="6">
        <v>12.0</v>
      </c>
      <c r="B17" s="8" t="s">
        <v>106</v>
      </c>
      <c r="C17" s="3" t="s">
        <v>756</v>
      </c>
      <c r="D17" s="8" t="s">
        <v>1468</v>
      </c>
      <c r="E17" s="8" t="s">
        <v>1469</v>
      </c>
      <c r="F17" s="24" t="s">
        <v>230</v>
      </c>
      <c r="G17" s="6" t="str">
        <f t="shared" si="1"/>
        <v>OK</v>
      </c>
      <c r="H17" s="8" t="s">
        <v>1472</v>
      </c>
    </row>
    <row r="18" ht="40.5" customHeight="1">
      <c r="A18" s="6">
        <v>13.0</v>
      </c>
      <c r="B18" s="8" t="s">
        <v>106</v>
      </c>
      <c r="C18" s="3" t="s">
        <v>75</v>
      </c>
      <c r="D18" s="8" t="s">
        <v>1497</v>
      </c>
      <c r="E18" s="8" t="s">
        <v>1469</v>
      </c>
      <c r="F18" s="24" t="s">
        <v>230</v>
      </c>
      <c r="G18" s="6" t="str">
        <f t="shared" si="1"/>
        <v>OK</v>
      </c>
      <c r="H18" s="8"/>
    </row>
    <row r="19" ht="60.0" customHeight="1">
      <c r="A19" s="6">
        <v>14.0</v>
      </c>
      <c r="B19" s="8" t="s">
        <v>106</v>
      </c>
      <c r="C19" s="3" t="s">
        <v>1498</v>
      </c>
      <c r="D19" s="8" t="s">
        <v>1499</v>
      </c>
      <c r="E19" s="8" t="s">
        <v>1469</v>
      </c>
      <c r="F19" s="24" t="s">
        <v>230</v>
      </c>
      <c r="G19" s="6" t="str">
        <f t="shared" si="1"/>
        <v>OK</v>
      </c>
      <c r="H19" s="8"/>
    </row>
    <row r="20" ht="60.0" customHeight="1">
      <c r="A20" s="6">
        <v>15.0</v>
      </c>
      <c r="B20" s="8" t="s">
        <v>106</v>
      </c>
      <c r="C20" s="3" t="s">
        <v>1482</v>
      </c>
      <c r="D20" s="8" t="s">
        <v>1483</v>
      </c>
      <c r="E20" s="8" t="s">
        <v>1484</v>
      </c>
      <c r="F20" s="24" t="s">
        <v>230</v>
      </c>
      <c r="G20" s="6" t="str">
        <f t="shared" si="1"/>
        <v>OK</v>
      </c>
      <c r="H20" s="8" t="s">
        <v>1487</v>
      </c>
    </row>
    <row r="21" ht="53.25" customHeight="1">
      <c r="A21" s="6">
        <v>16.0</v>
      </c>
      <c r="B21" s="8" t="s">
        <v>137</v>
      </c>
      <c r="C21" s="3" t="s">
        <v>756</v>
      </c>
      <c r="D21" s="8" t="s">
        <v>1468</v>
      </c>
      <c r="E21" s="8" t="s">
        <v>1469</v>
      </c>
      <c r="F21" s="24" t="s">
        <v>211</v>
      </c>
      <c r="G21" s="6" t="str">
        <f t="shared" si="1"/>
        <v>OK</v>
      </c>
      <c r="H21" s="8" t="s">
        <v>1472</v>
      </c>
    </row>
    <row r="22" ht="40.5" customHeight="1">
      <c r="A22" s="6">
        <v>17.0</v>
      </c>
      <c r="B22" s="8" t="s">
        <v>137</v>
      </c>
      <c r="C22" s="3" t="s">
        <v>42</v>
      </c>
      <c r="D22" s="8" t="s">
        <v>25</v>
      </c>
      <c r="E22" s="8" t="s">
        <v>1469</v>
      </c>
      <c r="F22" s="24" t="s">
        <v>211</v>
      </c>
      <c r="G22" s="6" t="str">
        <f t="shared" si="1"/>
        <v>OK</v>
      </c>
      <c r="H22" s="8"/>
    </row>
    <row r="23" ht="60.0" customHeight="1">
      <c r="A23" s="6">
        <v>18.0</v>
      </c>
      <c r="B23" s="8" t="s">
        <v>137</v>
      </c>
      <c r="C23" s="3" t="s">
        <v>1475</v>
      </c>
      <c r="D23" s="8" t="s">
        <v>1476</v>
      </c>
      <c r="E23" s="8" t="s">
        <v>1469</v>
      </c>
      <c r="F23" s="24" t="s">
        <v>211</v>
      </c>
      <c r="G23" s="6" t="str">
        <f t="shared" si="1"/>
        <v>OK</v>
      </c>
      <c r="H23" s="8"/>
    </row>
    <row r="24" ht="60.0" customHeight="1">
      <c r="A24" s="6">
        <v>19.0</v>
      </c>
      <c r="B24" s="8" t="s">
        <v>137</v>
      </c>
      <c r="C24" s="3" t="s">
        <v>1498</v>
      </c>
      <c r="D24" s="8" t="s">
        <v>1499</v>
      </c>
      <c r="E24" s="8" t="s">
        <v>1469</v>
      </c>
      <c r="F24" s="24" t="s">
        <v>211</v>
      </c>
      <c r="G24" s="6" t="str">
        <f t="shared" si="1"/>
        <v>OK</v>
      </c>
      <c r="H24" s="8"/>
    </row>
    <row r="25" ht="40.5" customHeight="1">
      <c r="A25" s="6">
        <v>20.0</v>
      </c>
      <c r="B25" s="8" t="s">
        <v>137</v>
      </c>
      <c r="C25" s="3" t="s">
        <v>1477</v>
      </c>
      <c r="D25" s="8" t="s">
        <v>1478</v>
      </c>
      <c r="E25" s="8" t="s">
        <v>1469</v>
      </c>
      <c r="F25" s="24" t="s">
        <v>211</v>
      </c>
      <c r="G25" s="6" t="str">
        <f t="shared" si="1"/>
        <v>OK</v>
      </c>
      <c r="H25" s="8"/>
    </row>
    <row r="26" ht="60.0" customHeight="1">
      <c r="A26" s="6">
        <v>21.0</v>
      </c>
      <c r="B26" s="8" t="s">
        <v>137</v>
      </c>
      <c r="C26" s="3" t="s">
        <v>1482</v>
      </c>
      <c r="D26" s="8" t="s">
        <v>1483</v>
      </c>
      <c r="E26" s="8" t="s">
        <v>1484</v>
      </c>
      <c r="F26" s="24" t="s">
        <v>211</v>
      </c>
      <c r="G26" s="6" t="str">
        <f t="shared" si="1"/>
        <v>OK</v>
      </c>
      <c r="H26" s="8" t="s">
        <v>1487</v>
      </c>
    </row>
    <row r="27" ht="53.25" customHeight="1">
      <c r="A27" s="6">
        <v>22.0</v>
      </c>
      <c r="B27" s="8" t="s">
        <v>165</v>
      </c>
      <c r="C27" s="3" t="s">
        <v>756</v>
      </c>
      <c r="D27" s="8" t="s">
        <v>1468</v>
      </c>
      <c r="E27" s="8" t="s">
        <v>1469</v>
      </c>
      <c r="F27" s="24" t="s">
        <v>230</v>
      </c>
      <c r="G27" s="6" t="str">
        <f t="shared" si="1"/>
        <v>OK</v>
      </c>
      <c r="H27" s="8" t="s">
        <v>1472</v>
      </c>
    </row>
    <row r="28" ht="40.5" customHeight="1">
      <c r="A28" s="6">
        <v>23.0</v>
      </c>
      <c r="B28" s="8" t="s">
        <v>165</v>
      </c>
      <c r="C28" s="3" t="s">
        <v>1480</v>
      </c>
      <c r="D28" s="8" t="s">
        <v>1481</v>
      </c>
      <c r="E28" s="8" t="s">
        <v>1469</v>
      </c>
      <c r="F28" s="24" t="s">
        <v>230</v>
      </c>
      <c r="G28" s="6" t="str">
        <f t="shared" si="1"/>
        <v>OK</v>
      </c>
      <c r="H28" s="8"/>
    </row>
    <row r="29" ht="53.25" customHeight="1">
      <c r="A29" s="6">
        <v>24.0</v>
      </c>
      <c r="B29" s="8" t="s">
        <v>165</v>
      </c>
      <c r="C29" s="3" t="s">
        <v>75</v>
      </c>
      <c r="D29" s="8" t="s">
        <v>1509</v>
      </c>
      <c r="E29" s="8" t="s">
        <v>1469</v>
      </c>
      <c r="F29" s="24" t="s">
        <v>230</v>
      </c>
      <c r="G29" s="6" t="str">
        <f t="shared" si="1"/>
        <v>OK</v>
      </c>
      <c r="H29" s="8"/>
    </row>
    <row r="30" ht="60.0" customHeight="1">
      <c r="A30" s="6">
        <v>25.0</v>
      </c>
      <c r="B30" s="8" t="s">
        <v>165</v>
      </c>
      <c r="C30" s="3" t="s">
        <v>1482</v>
      </c>
      <c r="D30" s="8" t="s">
        <v>1483</v>
      </c>
      <c r="E30" s="8" t="s">
        <v>1484</v>
      </c>
      <c r="F30" s="24" t="s">
        <v>230</v>
      </c>
      <c r="G30" s="6" t="str">
        <f t="shared" si="1"/>
        <v>OK</v>
      </c>
      <c r="H30" s="8" t="s">
        <v>1487</v>
      </c>
    </row>
    <row r="31" ht="53.25" customHeight="1">
      <c r="A31" s="6">
        <v>26.0</v>
      </c>
      <c r="B31" s="8" t="s">
        <v>180</v>
      </c>
      <c r="C31" s="3" t="s">
        <v>763</v>
      </c>
      <c r="D31" s="8" t="s">
        <v>1510</v>
      </c>
      <c r="E31" s="8" t="s">
        <v>1469</v>
      </c>
      <c r="F31" s="24" t="s">
        <v>250</v>
      </c>
      <c r="G31" s="6" t="str">
        <f t="shared" si="1"/>
        <v>OK</v>
      </c>
      <c r="H31" s="8" t="s">
        <v>1472</v>
      </c>
    </row>
    <row r="32" ht="40.5" customHeight="1">
      <c r="A32" s="6">
        <v>27.0</v>
      </c>
      <c r="B32" s="8" t="s">
        <v>180</v>
      </c>
      <c r="C32" s="3" t="s">
        <v>1480</v>
      </c>
      <c r="D32" s="8" t="s">
        <v>1481</v>
      </c>
      <c r="E32" s="8" t="s">
        <v>1469</v>
      </c>
      <c r="F32" s="24" t="s">
        <v>250</v>
      </c>
      <c r="G32" s="6" t="str">
        <f t="shared" si="1"/>
        <v>OK</v>
      </c>
      <c r="H32" s="8"/>
    </row>
    <row r="33" ht="60.0" customHeight="1">
      <c r="A33" s="6">
        <v>28.0</v>
      </c>
      <c r="B33" s="8" t="s">
        <v>180</v>
      </c>
      <c r="C33" s="3" t="s">
        <v>1482</v>
      </c>
      <c r="D33" s="8" t="s">
        <v>1483</v>
      </c>
      <c r="E33" s="8" t="s">
        <v>1484</v>
      </c>
      <c r="F33" s="24" t="s">
        <v>250</v>
      </c>
      <c r="G33" s="6" t="str">
        <f t="shared" si="1"/>
        <v>OK</v>
      </c>
      <c r="H33" s="8" t="s">
        <v>1487</v>
      </c>
    </row>
    <row r="34" ht="53.25" customHeight="1">
      <c r="A34" s="6">
        <v>29.0</v>
      </c>
      <c r="B34" s="8" t="s">
        <v>756</v>
      </c>
      <c r="C34" s="3" t="s">
        <v>42</v>
      </c>
      <c r="D34" s="8" t="s">
        <v>25</v>
      </c>
      <c r="E34" s="8" t="s">
        <v>1512</v>
      </c>
      <c r="F34" s="24" t="s">
        <v>211</v>
      </c>
      <c r="G34" s="6" t="str">
        <f t="shared" si="1"/>
        <v>OK</v>
      </c>
      <c r="H34" s="8"/>
    </row>
    <row r="35" ht="53.25" customHeight="1">
      <c r="A35" s="6">
        <v>30.0</v>
      </c>
      <c r="B35" s="8" t="s">
        <v>756</v>
      </c>
      <c r="C35" s="3" t="s">
        <v>75</v>
      </c>
      <c r="D35" s="8" t="s">
        <v>61</v>
      </c>
      <c r="E35" s="8" t="s">
        <v>1512</v>
      </c>
      <c r="F35" s="24" t="s">
        <v>211</v>
      </c>
      <c r="G35" s="6" t="str">
        <f t="shared" si="1"/>
        <v>OK</v>
      </c>
      <c r="H35" s="8"/>
    </row>
    <row r="36" ht="53.25" customHeight="1">
      <c r="A36" s="6">
        <v>31.0</v>
      </c>
      <c r="B36" s="8" t="s">
        <v>756</v>
      </c>
      <c r="C36" s="3" t="s">
        <v>106</v>
      </c>
      <c r="D36" s="8" t="s">
        <v>92</v>
      </c>
      <c r="E36" s="8" t="s">
        <v>1512</v>
      </c>
      <c r="F36" s="24" t="s">
        <v>211</v>
      </c>
      <c r="G36" s="6" t="str">
        <f t="shared" si="1"/>
        <v>OK</v>
      </c>
      <c r="H36" s="8"/>
    </row>
    <row r="37" ht="53.25" customHeight="1">
      <c r="A37" s="6">
        <v>32.0</v>
      </c>
      <c r="B37" s="8" t="s">
        <v>756</v>
      </c>
      <c r="C37" s="3" t="s">
        <v>137</v>
      </c>
      <c r="D37" s="8" t="s">
        <v>126</v>
      </c>
      <c r="E37" s="8" t="s">
        <v>1512</v>
      </c>
      <c r="F37" s="24" t="s">
        <v>211</v>
      </c>
      <c r="G37" s="6" t="str">
        <f t="shared" si="1"/>
        <v>OK</v>
      </c>
      <c r="H37" s="8"/>
    </row>
    <row r="38" ht="53.25" customHeight="1">
      <c r="A38" s="6">
        <v>33.0</v>
      </c>
      <c r="B38" s="8" t="s">
        <v>756</v>
      </c>
      <c r="C38" s="3" t="s">
        <v>165</v>
      </c>
      <c r="D38" s="8" t="s">
        <v>151</v>
      </c>
      <c r="E38" s="8" t="s">
        <v>1512</v>
      </c>
      <c r="F38" s="24" t="s">
        <v>211</v>
      </c>
      <c r="G38" s="6" t="str">
        <f t="shared" si="1"/>
        <v>OK</v>
      </c>
      <c r="H38" s="8"/>
    </row>
    <row r="39" ht="53.25" customHeight="1">
      <c r="A39" s="6">
        <v>34.0</v>
      </c>
      <c r="B39" s="8" t="s">
        <v>756</v>
      </c>
      <c r="C39" s="3" t="s">
        <v>1521</v>
      </c>
      <c r="D39" s="8" t="s">
        <v>1522</v>
      </c>
      <c r="E39" s="8" t="s">
        <v>1512</v>
      </c>
      <c r="F39" s="24" t="s">
        <v>211</v>
      </c>
      <c r="G39" s="6" t="str">
        <f t="shared" si="1"/>
        <v>OK</v>
      </c>
      <c r="H39" s="8"/>
    </row>
    <row r="40" ht="53.25" customHeight="1">
      <c r="A40" s="6">
        <v>35.0</v>
      </c>
      <c r="B40" s="8" t="s">
        <v>763</v>
      </c>
      <c r="C40" s="3" t="s">
        <v>180</v>
      </c>
      <c r="D40" s="8" t="s">
        <v>715</v>
      </c>
      <c r="E40" s="8" t="s">
        <v>1512</v>
      </c>
      <c r="F40" s="24" t="s">
        <v>250</v>
      </c>
      <c r="G40" s="6" t="str">
        <f t="shared" si="1"/>
        <v>OK</v>
      </c>
      <c r="H40" s="8"/>
    </row>
    <row r="41" ht="53.25" customHeight="1">
      <c r="A41" s="6">
        <v>36.0</v>
      </c>
      <c r="B41" s="8" t="s">
        <v>763</v>
      </c>
      <c r="C41" s="3" t="s">
        <v>1521</v>
      </c>
      <c r="D41" s="8" t="s">
        <v>1522</v>
      </c>
      <c r="E41" s="8" t="s">
        <v>1512</v>
      </c>
      <c r="F41" s="24" t="s">
        <v>250</v>
      </c>
      <c r="G41" s="6" t="str">
        <f t="shared" si="1"/>
        <v>OK</v>
      </c>
      <c r="H41" s="8"/>
    </row>
    <row r="42" ht="40.5" customHeight="1">
      <c r="A42" s="6">
        <v>37.0</v>
      </c>
      <c r="B42" s="8" t="s">
        <v>1508</v>
      </c>
      <c r="C42" s="3" t="s">
        <v>756</v>
      </c>
      <c r="D42" s="8" t="s">
        <v>168</v>
      </c>
      <c r="E42" s="8" t="s">
        <v>1525</v>
      </c>
      <c r="F42" s="24" t="s">
        <v>211</v>
      </c>
      <c r="G42" s="6" t="str">
        <f t="shared" si="1"/>
        <v>OK</v>
      </c>
      <c r="H42" s="8"/>
    </row>
    <row r="43" ht="53.25" customHeight="1">
      <c r="A43" s="6">
        <v>38.0</v>
      </c>
      <c r="B43" s="8" t="s">
        <v>1508</v>
      </c>
      <c r="C43" s="3" t="s">
        <v>763</v>
      </c>
      <c r="D43" s="8" t="s">
        <v>242</v>
      </c>
      <c r="E43" s="8" t="s">
        <v>1525</v>
      </c>
      <c r="F43" s="24" t="s">
        <v>211</v>
      </c>
      <c r="G43" s="6" t="str">
        <f t="shared" si="1"/>
        <v>OK</v>
      </c>
      <c r="H43" s="8"/>
    </row>
    <row r="44" ht="60.0" customHeight="1">
      <c r="A44" s="6">
        <v>39.0</v>
      </c>
      <c r="B44" s="8" t="s">
        <v>1527</v>
      </c>
      <c r="C44" s="3" t="s">
        <v>1508</v>
      </c>
      <c r="D44" s="8" t="s">
        <v>1528</v>
      </c>
      <c r="E44" s="8" t="s">
        <v>1529</v>
      </c>
      <c r="F44" s="24" t="s">
        <v>211</v>
      </c>
      <c r="G44" s="6" t="str">
        <f t="shared" si="1"/>
        <v>OK</v>
      </c>
      <c r="H44" s="8" t="s">
        <v>1530</v>
      </c>
    </row>
    <row r="45" ht="60.0" customHeight="1">
      <c r="A45" s="6">
        <v>40.0</v>
      </c>
      <c r="B45" s="8" t="s">
        <v>1477</v>
      </c>
      <c r="C45" s="3" t="s">
        <v>42</v>
      </c>
      <c r="D45" s="8" t="s">
        <v>1533</v>
      </c>
      <c r="E45" s="8" t="s">
        <v>1534</v>
      </c>
      <c r="F45" s="24" t="s">
        <v>230</v>
      </c>
      <c r="G45" s="6" t="str">
        <f t="shared" si="1"/>
        <v>OK</v>
      </c>
      <c r="H45" s="8" t="s">
        <v>1536</v>
      </c>
    </row>
    <row r="46" ht="53.25" customHeight="1">
      <c r="A46" s="6">
        <v>41.0</v>
      </c>
      <c r="B46" s="8" t="s">
        <v>1477</v>
      </c>
      <c r="C46" s="3" t="s">
        <v>137</v>
      </c>
      <c r="D46" s="8" t="s">
        <v>1537</v>
      </c>
      <c r="E46" s="8" t="s">
        <v>1538</v>
      </c>
      <c r="F46" s="24" t="s">
        <v>230</v>
      </c>
      <c r="G46" s="6" t="str">
        <f t="shared" si="1"/>
        <v>OK</v>
      </c>
      <c r="H46" s="8" t="s">
        <v>1539</v>
      </c>
    </row>
    <row r="47" ht="60.0" customHeight="1">
      <c r="A47" s="6">
        <v>42.0</v>
      </c>
      <c r="B47" s="8" t="s">
        <v>1540</v>
      </c>
      <c r="C47" s="3" t="s">
        <v>1508</v>
      </c>
      <c r="D47" s="8" t="s">
        <v>1541</v>
      </c>
      <c r="E47" s="8" t="s">
        <v>1542</v>
      </c>
      <c r="F47" s="24" t="s">
        <v>230</v>
      </c>
      <c r="G47" s="6" t="str">
        <f t="shared" si="1"/>
        <v>OK</v>
      </c>
      <c r="H47" s="8" t="s">
        <v>1543</v>
      </c>
    </row>
    <row r="48" ht="60.0" customHeight="1">
      <c r="A48" s="6">
        <v>43.0</v>
      </c>
      <c r="B48" s="8" t="s">
        <v>1544</v>
      </c>
      <c r="C48" s="3" t="str">
        <f>IF(LEFT('1. Decision Summary'!$C$5,8)="Option A","(the redirect target - section B)","(no change - Option B)")</f>
        <v>(the redirect target - section B)</v>
      </c>
      <c r="D48" s="8" t="s">
        <v>1545</v>
      </c>
      <c r="E48" s="8" t="s">
        <v>1546</v>
      </c>
      <c r="F48" s="24" t="s">
        <v>211</v>
      </c>
      <c r="G48" s="6" t="str">
        <f t="shared" si="1"/>
        <v>n/a</v>
      </c>
      <c r="H48" s="8" t="s">
        <v>1547</v>
      </c>
    </row>
    <row r="49" ht="15.75" customHeight="1"/>
    <row r="50" ht="18.0" customHeight="1">
      <c r="A50" s="11" t="s">
        <v>1548</v>
      </c>
      <c r="B50" s="12"/>
      <c r="C50" s="12"/>
      <c r="D50" s="12"/>
      <c r="E50" s="12"/>
      <c r="F50" s="12"/>
      <c r="G50" s="12"/>
      <c r="H50" s="12"/>
    </row>
    <row r="51" ht="30.0" customHeight="1">
      <c r="A51" s="4" t="s">
        <v>9</v>
      </c>
      <c r="B51" s="4" t="s">
        <v>1549</v>
      </c>
      <c r="C51" s="4" t="s">
        <v>1550</v>
      </c>
      <c r="D51" s="4" t="s">
        <v>435</v>
      </c>
      <c r="E51" s="4" t="s">
        <v>1551</v>
      </c>
      <c r="F51" s="4" t="s">
        <v>1552</v>
      </c>
      <c r="G51" s="4" t="s">
        <v>1553</v>
      </c>
      <c r="H51" s="4" t="s">
        <v>440</v>
      </c>
    </row>
    <row r="52" ht="60.0" customHeight="1">
      <c r="A52" s="6">
        <v>1.0</v>
      </c>
      <c r="B52" s="3" t="s">
        <v>1554</v>
      </c>
      <c r="C52" s="8" t="s">
        <v>803</v>
      </c>
      <c r="D52" s="6" t="s">
        <v>1555</v>
      </c>
      <c r="E52" s="6" t="str">
        <f>IF(LEFT('1. Decision Summary'!$C$5,8)="Option A","YES","NO - Option B keeps the page")</f>
        <v>YES</v>
      </c>
      <c r="F52" s="50" t="s">
        <v>1556</v>
      </c>
      <c r="G52" s="8" t="s">
        <v>1557</v>
      </c>
      <c r="H52" s="8" t="s">
        <v>1558</v>
      </c>
    </row>
    <row r="53" ht="60.0" customHeight="1">
      <c r="A53" s="6">
        <v>2.0</v>
      </c>
      <c r="B53" s="3" t="s">
        <v>1560</v>
      </c>
      <c r="C53" s="8" t="s">
        <v>803</v>
      </c>
      <c r="D53" s="6" t="s">
        <v>1555</v>
      </c>
      <c r="E53" s="6" t="str">
        <f>IF(LEFT('1. Decision Summary'!$C$5,8)="Option A","YES","NO - Option B keeps the page")</f>
        <v>YES</v>
      </c>
      <c r="F53" s="50" t="s">
        <v>1564</v>
      </c>
      <c r="G53" s="8" t="s">
        <v>1557</v>
      </c>
      <c r="H53" s="8" t="s">
        <v>1558</v>
      </c>
    </row>
    <row r="54" ht="60.0" customHeight="1">
      <c r="A54" s="6">
        <v>3.0</v>
      </c>
      <c r="B54" s="3" t="s">
        <v>1565</v>
      </c>
      <c r="C54" s="8" t="s">
        <v>846</v>
      </c>
      <c r="D54" s="6" t="s">
        <v>1555</v>
      </c>
      <c r="E54" s="6" t="str">
        <f>IF(LEFT('1. Decision Summary'!$C$5,8)="Option A","YES","NO - Option B keeps the page")</f>
        <v>YES</v>
      </c>
      <c r="F54" s="50" t="s">
        <v>1566</v>
      </c>
      <c r="G54" s="8" t="s">
        <v>1567</v>
      </c>
      <c r="H54" s="8" t="s">
        <v>1568</v>
      </c>
    </row>
    <row r="55" ht="60.0" customHeight="1">
      <c r="A55" s="6">
        <v>4.0</v>
      </c>
      <c r="B55" s="3" t="s">
        <v>1569</v>
      </c>
      <c r="C55" s="8" t="s">
        <v>846</v>
      </c>
      <c r="D55" s="6" t="s">
        <v>1555</v>
      </c>
      <c r="E55" s="6" t="str">
        <f>IF(LEFT('1. Decision Summary'!$C$5,8)="Option A","YES","NO - Option B keeps the page")</f>
        <v>YES</v>
      </c>
      <c r="F55" s="50" t="s">
        <v>1570</v>
      </c>
      <c r="G55" s="8" t="s">
        <v>1567</v>
      </c>
      <c r="H55" s="8" t="s">
        <v>1568</v>
      </c>
    </row>
    <row r="56" ht="60.0" customHeight="1">
      <c r="A56" s="6">
        <v>5.0</v>
      </c>
      <c r="B56" s="3" t="s">
        <v>1571</v>
      </c>
      <c r="C56" s="8" t="s">
        <v>846</v>
      </c>
      <c r="D56" s="6" t="s">
        <v>1555</v>
      </c>
      <c r="E56" s="6" t="str">
        <f>IF(LEFT('1. Decision Summary'!$C$5,8)="Option A","YES","NO - Option B keeps the page")</f>
        <v>YES</v>
      </c>
      <c r="F56" s="50" t="s">
        <v>1572</v>
      </c>
      <c r="G56" s="8" t="s">
        <v>1567</v>
      </c>
      <c r="H56" s="8" t="s">
        <v>1568</v>
      </c>
    </row>
    <row r="57" ht="60.0" customHeight="1">
      <c r="A57" s="6">
        <v>6.0</v>
      </c>
      <c r="B57" s="3" t="s">
        <v>1573</v>
      </c>
      <c r="C57" s="8" t="s">
        <v>846</v>
      </c>
      <c r="D57" s="6" t="s">
        <v>1555</v>
      </c>
      <c r="E57" s="6" t="str">
        <f>IF(LEFT('1. Decision Summary'!$C$5,8)="Option A","YES","NO - Option B keeps the page")</f>
        <v>YES</v>
      </c>
      <c r="F57" s="50" t="s">
        <v>1574</v>
      </c>
      <c r="G57" s="8" t="s">
        <v>1567</v>
      </c>
      <c r="H57" s="8" t="s">
        <v>1568</v>
      </c>
    </row>
    <row r="58" ht="60.0" customHeight="1">
      <c r="A58" s="6">
        <v>7.0</v>
      </c>
      <c r="B58" s="3" t="s">
        <v>1575</v>
      </c>
      <c r="C58" s="8" t="s">
        <v>846</v>
      </c>
      <c r="D58" s="6" t="s">
        <v>1555</v>
      </c>
      <c r="E58" s="6" t="str">
        <f>IF(LEFT('1. Decision Summary'!$C$5,8)="Option A","YES","NO - Option B keeps the page")</f>
        <v>YES</v>
      </c>
      <c r="F58" s="50" t="s">
        <v>1576</v>
      </c>
      <c r="G58" s="8" t="s">
        <v>1567</v>
      </c>
      <c r="H58" s="8" t="s">
        <v>1568</v>
      </c>
    </row>
    <row r="59" ht="60.0" customHeight="1">
      <c r="A59" s="6">
        <v>8.0</v>
      </c>
      <c r="B59" s="3" t="s">
        <v>1577</v>
      </c>
      <c r="C59" s="8" t="s">
        <v>846</v>
      </c>
      <c r="D59" s="6" t="s">
        <v>1555</v>
      </c>
      <c r="E59" s="6" t="str">
        <f>IF(LEFT('1. Decision Summary'!$C$5,8)="Option A","YES","NO - Option B keeps the page")</f>
        <v>YES</v>
      </c>
      <c r="F59" s="50" t="s">
        <v>1578</v>
      </c>
      <c r="G59" s="8" t="s">
        <v>1567</v>
      </c>
      <c r="H59" s="8" t="s">
        <v>1568</v>
      </c>
    </row>
    <row r="60" ht="60.0" customHeight="1">
      <c r="A60" s="6">
        <v>9.0</v>
      </c>
      <c r="B60" s="3" t="s">
        <v>1579</v>
      </c>
      <c r="C60" s="8" t="s">
        <v>1580</v>
      </c>
      <c r="D60" s="6" t="s">
        <v>1581</v>
      </c>
      <c r="E60" s="6" t="s">
        <v>295</v>
      </c>
      <c r="F60" s="50" t="s">
        <v>1582</v>
      </c>
      <c r="G60" s="8" t="s">
        <v>1583</v>
      </c>
      <c r="H60" s="8" t="s">
        <v>1584</v>
      </c>
    </row>
    <row r="61" ht="60.0" customHeight="1">
      <c r="A61" s="6">
        <v>10.0</v>
      </c>
      <c r="B61" s="3" t="s">
        <v>1585</v>
      </c>
      <c r="C61" s="8" t="s">
        <v>1586</v>
      </c>
      <c r="D61" s="6" t="s">
        <v>1555</v>
      </c>
      <c r="E61" s="6" t="s">
        <v>295</v>
      </c>
      <c r="F61" s="50" t="s">
        <v>1587</v>
      </c>
      <c r="G61" s="8" t="s">
        <v>1588</v>
      </c>
      <c r="H61" s="8" t="s">
        <v>1589</v>
      </c>
    </row>
    <row r="62" ht="15.75" customHeight="1">
      <c r="B62" s="28" t="s">
        <v>1590</v>
      </c>
    </row>
    <row r="63" ht="15.75" customHeight="1">
      <c r="B63" s="28" t="s">
        <v>1591</v>
      </c>
    </row>
    <row r="64" ht="15.75" customHeight="1">
      <c r="B64" s="28" t="s">
        <v>1592</v>
      </c>
    </row>
    <row r="65" ht="15.75" customHeight="1">
      <c r="B65" s="28" t="s">
        <v>1593</v>
      </c>
    </row>
    <row r="66" ht="15.75" customHeight="1"/>
    <row r="67" ht="18.0" customHeight="1">
      <c r="A67" s="11" t="s">
        <v>1597</v>
      </c>
      <c r="B67" s="12"/>
      <c r="C67" s="12"/>
      <c r="D67" s="12"/>
      <c r="E67" s="12"/>
      <c r="F67" s="12"/>
      <c r="G67" s="12"/>
      <c r="H67" s="12"/>
    </row>
    <row r="68" ht="30.0" customHeight="1">
      <c r="A68" s="4" t="s">
        <v>9</v>
      </c>
      <c r="B68" s="4" t="s">
        <v>790</v>
      </c>
      <c r="C68" s="4" t="s">
        <v>1599</v>
      </c>
      <c r="D68" s="4" t="s">
        <v>1600</v>
      </c>
      <c r="E68" s="4" t="s">
        <v>1601</v>
      </c>
      <c r="F68" s="4" t="s">
        <v>440</v>
      </c>
    </row>
    <row r="69" ht="45.0" customHeight="1">
      <c r="A69" s="6">
        <v>1.0</v>
      </c>
      <c r="B69" s="3" t="s">
        <v>478</v>
      </c>
      <c r="C69" s="8" t="str">
        <f>IF('6. On-Page Specs'!$Z$5="READY","Include","Hold - tab 6 says NOT READY")</f>
        <v>Hold - tab 6 says NOT READY</v>
      </c>
      <c r="D69" s="8" t="s">
        <v>1606</v>
      </c>
      <c r="E69" s="8" t="s">
        <v>1607</v>
      </c>
      <c r="F69" s="8" t="s">
        <v>479</v>
      </c>
    </row>
    <row r="70" ht="45.0" customHeight="1">
      <c r="A70" s="6">
        <v>2.0</v>
      </c>
      <c r="B70" s="3" t="s">
        <v>590</v>
      </c>
      <c r="C70" s="8" t="str">
        <f>IF('6. On-Page Specs'!$Z$6="READY","Include","Hold - tab 6 says NOT READY")</f>
        <v>Hold - tab 6 says NOT READY</v>
      </c>
      <c r="D70" s="8" t="s">
        <v>1606</v>
      </c>
      <c r="E70" s="8" t="s">
        <v>1607</v>
      </c>
      <c r="F70" s="8" t="s">
        <v>479</v>
      </c>
    </row>
    <row r="71" ht="45.0" customHeight="1">
      <c r="A71" s="6">
        <v>3.0</v>
      </c>
      <c r="B71" s="3" t="s">
        <v>690</v>
      </c>
      <c r="C71" s="8" t="str">
        <f>IF('6. On-Page Specs'!$Z$7="READY","Include","Hold - tab 6 says NOT READY")</f>
        <v>Hold - tab 6 says NOT READY</v>
      </c>
      <c r="D71" s="8" t="s">
        <v>1606</v>
      </c>
      <c r="E71" s="8" t="s">
        <v>1607</v>
      </c>
      <c r="F71" s="8" t="s">
        <v>479</v>
      </c>
    </row>
    <row r="72" ht="45.0" customHeight="1">
      <c r="A72" s="6">
        <v>4.0</v>
      </c>
      <c r="B72" s="3" t="s">
        <v>736</v>
      </c>
      <c r="C72" s="8" t="str">
        <f>IF('6. On-Page Specs'!$Z$8="READY","Include","Hold - tab 6 says NOT READY")</f>
        <v>Hold - tab 6 says NOT READY</v>
      </c>
      <c r="D72" s="8" t="s">
        <v>1606</v>
      </c>
      <c r="E72" s="8" t="s">
        <v>1607</v>
      </c>
      <c r="F72" s="8" t="s">
        <v>479</v>
      </c>
    </row>
    <row r="73" ht="45.0" customHeight="1">
      <c r="A73" s="6">
        <v>5.0</v>
      </c>
      <c r="B73" s="3" t="s">
        <v>777</v>
      </c>
      <c r="C73" s="8" t="str">
        <f>IF('6. On-Page Specs'!$Z$9="READY","Include","Hold - tab 6 says NOT READY")</f>
        <v>Hold - tab 6 says NOT READY</v>
      </c>
      <c r="D73" s="8" t="s">
        <v>1606</v>
      </c>
      <c r="E73" s="8" t="s">
        <v>1607</v>
      </c>
      <c r="F73" s="8" t="s">
        <v>479</v>
      </c>
    </row>
    <row r="74" ht="45.0" customHeight="1">
      <c r="A74" s="6">
        <v>6.0</v>
      </c>
      <c r="B74" s="3" t="s">
        <v>803</v>
      </c>
      <c r="C74" s="8" t="str">
        <f>IF('6. On-Page Specs'!$Z$10="READY","Include","Hold - tab 6 says NOT READY")</f>
        <v>Hold - tab 6 says NOT READY</v>
      </c>
      <c r="D74" s="8" t="s">
        <v>1606</v>
      </c>
      <c r="E74" s="8" t="s">
        <v>1607</v>
      </c>
      <c r="F74" s="8" t="s">
        <v>804</v>
      </c>
    </row>
    <row r="75" ht="45.0" customHeight="1">
      <c r="A75" s="6">
        <v>7.0</v>
      </c>
      <c r="B75" s="3" t="s">
        <v>823</v>
      </c>
      <c r="C75" s="8" t="str">
        <f>IF('6. On-Page Specs'!$Z$11="READY","Include","Hold - tab 6 says NOT READY")</f>
        <v>Hold - tab 6 says NOT READY</v>
      </c>
      <c r="D75" s="8" t="s">
        <v>1606</v>
      </c>
      <c r="E75" s="8" t="s">
        <v>1607</v>
      </c>
      <c r="F75" s="8" t="s">
        <v>824</v>
      </c>
    </row>
    <row r="76" ht="45.0" customHeight="1">
      <c r="A76" s="6">
        <v>8.0</v>
      </c>
      <c r="B76" s="3" t="s">
        <v>846</v>
      </c>
      <c r="C76" s="8" t="str">
        <f>IF('6. On-Page Specs'!$Z$12="READY","Include","Hold - tab 6 says NOT READY")</f>
        <v>Hold - tab 6 says NOT READY</v>
      </c>
      <c r="D76" s="8" t="s">
        <v>1606</v>
      </c>
      <c r="E76" s="8" t="s">
        <v>1607</v>
      </c>
      <c r="F76" s="8" t="s">
        <v>847</v>
      </c>
    </row>
    <row r="77" ht="45.0" customHeight="1">
      <c r="A77" s="6">
        <v>9.0</v>
      </c>
      <c r="B77" s="3" t="s">
        <v>864</v>
      </c>
      <c r="C77" s="8" t="str">
        <f>IF('6. On-Page Specs'!$Z$13="READY","Include","Hold - tab 6 says NOT READY")</f>
        <v>Hold - tab 6 says NOT READY</v>
      </c>
      <c r="D77" s="8" t="s">
        <v>1606</v>
      </c>
      <c r="E77" s="8" t="s">
        <v>1607</v>
      </c>
      <c r="F77" s="8" t="s">
        <v>865</v>
      </c>
    </row>
    <row r="78" ht="45.0" customHeight="1">
      <c r="A78" s="6">
        <v>10.0</v>
      </c>
      <c r="B78" s="3" t="s">
        <v>1613</v>
      </c>
      <c r="C78" s="8" t="str">
        <f>IF(LEFT('1. Decision Summary'!$C$5,8)="Option A","Remove (redirected)","Include (Option B mini-page)")</f>
        <v>Remove (redirected)</v>
      </c>
      <c r="D78" s="8" t="s">
        <v>1615</v>
      </c>
      <c r="E78" s="8" t="s">
        <v>178</v>
      </c>
      <c r="F78" s="8" t="s">
        <v>1616</v>
      </c>
    </row>
    <row r="79" ht="45.0" customHeight="1">
      <c r="A79" s="6">
        <v>11.0</v>
      </c>
      <c r="B79" s="3" t="s">
        <v>1617</v>
      </c>
      <c r="C79" s="8" t="str">
        <f>IF(LEFT('1. Decision Summary'!$C$5,8)="Option A","Remove (redirected)","Include (Option B mini-page)")</f>
        <v>Remove (redirected)</v>
      </c>
      <c r="D79" s="8" t="s">
        <v>1615</v>
      </c>
      <c r="E79" s="8" t="s">
        <v>178</v>
      </c>
      <c r="F79" s="8" t="s">
        <v>1616</v>
      </c>
    </row>
    <row r="80" ht="45.0" customHeight="1">
      <c r="A80" s="6">
        <v>12.0</v>
      </c>
      <c r="B80" s="3" t="s">
        <v>1619</v>
      </c>
      <c r="C80" s="8" t="str">
        <f>IF(LEFT('1. Decision Summary'!$C$5,8)="Option A","Remove (redirected)","Include (Option B mini-page)")</f>
        <v>Remove (redirected)</v>
      </c>
      <c r="D80" s="8" t="s">
        <v>1615</v>
      </c>
      <c r="E80" s="8" t="s">
        <v>178</v>
      </c>
      <c r="F80" s="8" t="s">
        <v>1616</v>
      </c>
    </row>
    <row r="81" ht="45.0" customHeight="1">
      <c r="A81" s="6">
        <v>13.0</v>
      </c>
      <c r="B81" s="3" t="s">
        <v>1621</v>
      </c>
      <c r="C81" s="8" t="str">
        <f>IF(LEFT('1. Decision Summary'!$C$5,8)="Option A","Remove (redirected)","Include (Option B mini-page)")</f>
        <v>Remove (redirected)</v>
      </c>
      <c r="D81" s="8" t="s">
        <v>1615</v>
      </c>
      <c r="E81" s="8" t="s">
        <v>178</v>
      </c>
      <c r="F81" s="8" t="s">
        <v>1616</v>
      </c>
    </row>
    <row r="82" ht="45.0" customHeight="1">
      <c r="A82" s="6">
        <v>14.0</v>
      </c>
      <c r="B82" s="3" t="s">
        <v>1623</v>
      </c>
      <c r="C82" s="8" t="s">
        <v>1624</v>
      </c>
      <c r="D82" s="8" t="s">
        <v>1625</v>
      </c>
      <c r="E82" s="8" t="s">
        <v>178</v>
      </c>
      <c r="F82" s="8" t="s">
        <v>1626</v>
      </c>
    </row>
    <row r="83" ht="30.0" customHeight="1">
      <c r="B83" s="28" t="s">
        <v>1627</v>
      </c>
    </row>
    <row r="84" ht="15.75" customHeight="1"/>
    <row r="85" ht="18.0" customHeight="1">
      <c r="A85" s="11" t="s">
        <v>1628</v>
      </c>
      <c r="B85" s="12"/>
      <c r="C85" s="12"/>
      <c r="D85" s="12"/>
      <c r="E85" s="12"/>
      <c r="F85" s="12"/>
      <c r="G85" s="12"/>
      <c r="H85" s="12"/>
    </row>
    <row r="86" ht="30.0" customHeight="1">
      <c r="A86" s="4" t="s">
        <v>1629</v>
      </c>
      <c r="B86" s="4" t="s">
        <v>790</v>
      </c>
      <c r="C86" s="4" t="s">
        <v>1631</v>
      </c>
      <c r="D86" s="4" t="s">
        <v>796</v>
      </c>
      <c r="E86" s="4" t="s">
        <v>1632</v>
      </c>
      <c r="F86" s="4" t="s">
        <v>1633</v>
      </c>
      <c r="G86" s="4" t="s">
        <v>440</v>
      </c>
    </row>
    <row r="87" ht="45.0" customHeight="1">
      <c r="A87" s="6">
        <v>1.0</v>
      </c>
      <c r="B87" s="3" t="s">
        <v>823</v>
      </c>
      <c r="C87" s="8" t="str">
        <f>IF('6. On-Page Specs'!$Z$11="READY","Live + in sitemap + linked -&gt; request","Wait - NOT READY in tab 6")</f>
        <v>Wait - NOT READY in tab 6</v>
      </c>
      <c r="D87" s="37" t="s">
        <v>1635</v>
      </c>
      <c r="E87" s="51"/>
      <c r="F87" s="52" t="str">
        <f t="shared" ref="F87:F95" si="2">IF(E87="","",E87+7)</f>
        <v/>
      </c>
      <c r="G87" s="8" t="s">
        <v>1650</v>
      </c>
    </row>
    <row r="88" ht="45.0" customHeight="1">
      <c r="A88" s="6">
        <v>2.0</v>
      </c>
      <c r="B88" s="3" t="s">
        <v>478</v>
      </c>
      <c r="C88" s="8" t="str">
        <f>IF('6. On-Page Specs'!$Z$5="READY","Live + in sitemap + linked -&gt; request","Wait - NOT READY in tab 6")</f>
        <v>Wait - NOT READY in tab 6</v>
      </c>
      <c r="D88" s="37" t="s">
        <v>1635</v>
      </c>
      <c r="E88" s="51"/>
      <c r="F88" s="52" t="str">
        <f t="shared" si="2"/>
        <v/>
      </c>
      <c r="G88" s="8" t="s">
        <v>1656</v>
      </c>
    </row>
    <row r="89" ht="45.0" customHeight="1">
      <c r="A89" s="6">
        <v>3.0</v>
      </c>
      <c r="B89" s="3" t="s">
        <v>736</v>
      </c>
      <c r="C89" s="8" t="str">
        <f>IF('6. On-Page Specs'!$Z$8="READY","Live + in sitemap + linked -&gt; request","Wait - NOT READY in tab 6")</f>
        <v>Wait - NOT READY in tab 6</v>
      </c>
      <c r="D89" s="37" t="s">
        <v>1635</v>
      </c>
      <c r="E89" s="51"/>
      <c r="F89" s="52" t="str">
        <f t="shared" si="2"/>
        <v/>
      </c>
      <c r="G89" s="8"/>
    </row>
    <row r="90" ht="45.0" customHeight="1">
      <c r="A90" s="6">
        <v>4.0</v>
      </c>
      <c r="B90" s="3" t="s">
        <v>590</v>
      </c>
      <c r="C90" s="8" t="str">
        <f>IF('6. On-Page Specs'!$Z$6="READY","Live + in sitemap + linked -&gt; request","Wait - NOT READY in tab 6")</f>
        <v>Wait - NOT READY in tab 6</v>
      </c>
      <c r="D90" s="37" t="s">
        <v>1635</v>
      </c>
      <c r="E90" s="51"/>
      <c r="F90" s="52" t="str">
        <f t="shared" si="2"/>
        <v/>
      </c>
      <c r="G90" s="8"/>
    </row>
    <row r="91" ht="40.5" customHeight="1">
      <c r="A91" s="6">
        <v>5.0</v>
      </c>
      <c r="B91" s="3" t="s">
        <v>690</v>
      </c>
      <c r="C91" s="8" t="str">
        <f>IF('6. On-Page Specs'!$Z$7="READY","Live + in sitemap + linked -&gt; request","Wait - NOT READY in tab 6")</f>
        <v>Wait - NOT READY in tab 6</v>
      </c>
      <c r="D91" s="37" t="s">
        <v>1635</v>
      </c>
      <c r="E91" s="51"/>
      <c r="F91" s="52" t="str">
        <f t="shared" si="2"/>
        <v/>
      </c>
      <c r="G91" s="8"/>
    </row>
    <row r="92" ht="45.0" customHeight="1">
      <c r="A92" s="6">
        <v>6.0</v>
      </c>
      <c r="B92" s="3" t="s">
        <v>777</v>
      </c>
      <c r="C92" s="8" t="str">
        <f>IF('6. On-Page Specs'!$Z$9="READY","Live + in sitemap + linked -&gt; request","Wait - NOT READY in tab 6")</f>
        <v>Wait - NOT READY in tab 6</v>
      </c>
      <c r="D92" s="37" t="s">
        <v>1635</v>
      </c>
      <c r="E92" s="51"/>
      <c r="F92" s="52" t="str">
        <f t="shared" si="2"/>
        <v/>
      </c>
      <c r="G92" s="8"/>
    </row>
    <row r="93" ht="45.0" customHeight="1">
      <c r="A93" s="6">
        <v>7.0</v>
      </c>
      <c r="B93" s="3" t="s">
        <v>864</v>
      </c>
      <c r="C93" s="8" t="str">
        <f>IF('6. On-Page Specs'!$Z$13="READY","Live + in sitemap + linked -&gt; request","Wait - NOT READY in tab 6")</f>
        <v>Wait - NOT READY in tab 6</v>
      </c>
      <c r="D93" s="37" t="s">
        <v>1635</v>
      </c>
      <c r="E93" s="51"/>
      <c r="F93" s="52" t="str">
        <f t="shared" si="2"/>
        <v/>
      </c>
      <c r="G93" s="8" t="s">
        <v>1720</v>
      </c>
    </row>
    <row r="94" ht="45.0" customHeight="1">
      <c r="A94" s="6">
        <v>8.0</v>
      </c>
      <c r="B94" s="3" t="s">
        <v>846</v>
      </c>
      <c r="C94" s="8" t="str">
        <f>IF('6. On-Page Specs'!$Z$12="READY","Live + in sitemap + linked -&gt; request","Wait - NOT READY in tab 6")</f>
        <v>Wait - NOT READY in tab 6</v>
      </c>
      <c r="D94" s="37" t="s">
        <v>1635</v>
      </c>
      <c r="E94" s="51"/>
      <c r="F94" s="52" t="str">
        <f t="shared" si="2"/>
        <v/>
      </c>
      <c r="G94" s="8"/>
    </row>
    <row r="95" ht="45.0" customHeight="1">
      <c r="A95" s="6">
        <v>9.0</v>
      </c>
      <c r="B95" s="3" t="s">
        <v>803</v>
      </c>
      <c r="C95" s="8" t="str">
        <f>IF('6. On-Page Specs'!$Z$10="READY","Live + in sitemap + linked -&gt; request","Wait - NOT READY in tab 6")</f>
        <v>Wait - NOT READY in tab 6</v>
      </c>
      <c r="D95" s="37" t="s">
        <v>1635</v>
      </c>
      <c r="E95" s="51"/>
      <c r="F95" s="52" t="str">
        <f t="shared" si="2"/>
        <v/>
      </c>
      <c r="G95" s="8" t="s">
        <v>1745</v>
      </c>
    </row>
    <row r="96" ht="30.0" customHeight="1">
      <c r="B96" s="28" t="s">
        <v>1749</v>
      </c>
    </row>
    <row r="97" ht="15.75" customHeight="1"/>
    <row r="98" ht="18.0" customHeight="1">
      <c r="A98" s="11" t="s">
        <v>1751</v>
      </c>
      <c r="B98" s="12"/>
      <c r="C98" s="12"/>
      <c r="D98" s="12"/>
      <c r="E98" s="12"/>
      <c r="F98" s="12"/>
      <c r="G98" s="12"/>
      <c r="H98" s="12"/>
    </row>
    <row r="99" ht="19.5" customHeight="1">
      <c r="A99" s="4" t="s">
        <v>9</v>
      </c>
      <c r="B99" s="4" t="s">
        <v>1752</v>
      </c>
      <c r="C99" s="32" t="s">
        <v>500</v>
      </c>
      <c r="D99" s="7"/>
      <c r="E99" s="9"/>
      <c r="F99" s="32" t="s">
        <v>1753</v>
      </c>
      <c r="G99" s="7"/>
      <c r="H99" s="9"/>
    </row>
    <row r="100" ht="30.0" customHeight="1">
      <c r="A100" s="6">
        <v>1.0</v>
      </c>
      <c r="B100" s="3" t="s">
        <v>1754</v>
      </c>
      <c r="C100" s="15" t="s">
        <v>1755</v>
      </c>
      <c r="D100" s="7"/>
      <c r="E100" s="9"/>
      <c r="F100" s="53" t="s">
        <v>1757</v>
      </c>
      <c r="G100" s="7"/>
      <c r="H100" s="9"/>
    </row>
    <row r="101" ht="30.0" customHeight="1">
      <c r="A101" s="6">
        <v>2.0</v>
      </c>
      <c r="B101" s="3" t="s">
        <v>1761</v>
      </c>
      <c r="C101" s="15" t="s">
        <v>1762</v>
      </c>
      <c r="D101" s="7"/>
      <c r="E101" s="9"/>
      <c r="F101" s="53" t="s">
        <v>1763</v>
      </c>
      <c r="G101" s="7"/>
      <c r="H101" s="9"/>
    </row>
    <row r="102" ht="30.0" customHeight="1">
      <c r="A102" s="6">
        <v>3.0</v>
      </c>
      <c r="B102" s="3" t="s">
        <v>470</v>
      </c>
      <c r="C102" s="15" t="s">
        <v>1766</v>
      </c>
      <c r="D102" s="7"/>
      <c r="E102" s="9"/>
      <c r="F102" s="53" t="s">
        <v>1767</v>
      </c>
      <c r="G102" s="7"/>
      <c r="H102" s="9"/>
    </row>
    <row r="103" ht="30.0" customHeight="1">
      <c r="A103" s="6">
        <v>4.0</v>
      </c>
      <c r="B103" s="3" t="s">
        <v>1768</v>
      </c>
      <c r="C103" s="15" t="s">
        <v>1769</v>
      </c>
      <c r="D103" s="7"/>
      <c r="E103" s="9"/>
      <c r="F103" s="53" t="s">
        <v>1770</v>
      </c>
      <c r="G103" s="7"/>
      <c r="H103" s="9"/>
    </row>
    <row r="104" ht="30.0" customHeight="1">
      <c r="A104" s="6">
        <v>5.0</v>
      </c>
      <c r="B104" s="3" t="s">
        <v>1771</v>
      </c>
      <c r="C104" s="15" t="s">
        <v>1772</v>
      </c>
      <c r="D104" s="7"/>
      <c r="E104" s="9"/>
      <c r="F104" s="53" t="s">
        <v>1773</v>
      </c>
      <c r="G104" s="7"/>
      <c r="H104" s="9"/>
    </row>
    <row r="105" ht="30.0" customHeight="1">
      <c r="A105" s="6">
        <v>6.0</v>
      </c>
      <c r="B105" s="3" t="s">
        <v>1774</v>
      </c>
      <c r="C105" s="15" t="s">
        <v>1775</v>
      </c>
      <c r="D105" s="7"/>
      <c r="E105" s="9"/>
      <c r="F105" s="53" t="s">
        <v>1778</v>
      </c>
      <c r="G105" s="7"/>
      <c r="H105" s="9"/>
    </row>
    <row r="106" ht="30.0" customHeight="1">
      <c r="A106" s="6">
        <v>7.0</v>
      </c>
      <c r="B106" s="3" t="s">
        <v>1779</v>
      </c>
      <c r="C106" s="15" t="s">
        <v>1780</v>
      </c>
      <c r="D106" s="7"/>
      <c r="E106" s="9"/>
      <c r="F106" s="53" t="s">
        <v>1781</v>
      </c>
      <c r="G106" s="7"/>
      <c r="H106" s="9"/>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B62:H62"/>
    <mergeCell ref="B63:H63"/>
    <mergeCell ref="B64:H64"/>
    <mergeCell ref="B65:H65"/>
    <mergeCell ref="B83:H83"/>
    <mergeCell ref="B96:H96"/>
    <mergeCell ref="F99:H99"/>
    <mergeCell ref="C103:E103"/>
    <mergeCell ref="F103:H103"/>
    <mergeCell ref="C104:E104"/>
    <mergeCell ref="F104:H104"/>
    <mergeCell ref="C105:E105"/>
    <mergeCell ref="F105:H105"/>
    <mergeCell ref="C106:E106"/>
    <mergeCell ref="F106:H106"/>
    <mergeCell ref="C99:E99"/>
    <mergeCell ref="C100:E100"/>
    <mergeCell ref="F100:H100"/>
    <mergeCell ref="C101:E101"/>
    <mergeCell ref="F101:H101"/>
    <mergeCell ref="C102:E102"/>
    <mergeCell ref="F102:H102"/>
  </mergeCells>
  <conditionalFormatting sqref="G6:G48">
    <cfRule type="expression" dxfId="0" priority="1">
      <formula>G6="OK"</formula>
    </cfRule>
  </conditionalFormatting>
  <conditionalFormatting sqref="G6:G48">
    <cfRule type="expression" dxfId="2" priority="2">
      <formula>AND(G6&lt;&gt;"",NOT(G6="OK"))</formula>
    </cfRule>
  </conditionalFormatting>
  <conditionalFormatting sqref="E52:E61">
    <cfRule type="expression" dxfId="0" priority="3">
      <formula>E52="YES"</formula>
    </cfRule>
  </conditionalFormatting>
  <conditionalFormatting sqref="E52:E61">
    <cfRule type="expression" dxfId="2" priority="4">
      <formula>AND(E52&lt;&gt;"",NOT(E52="YES"))</formula>
    </cfRule>
  </conditionalFormatting>
  <conditionalFormatting sqref="C69:C82">
    <cfRule type="expression" dxfId="0" priority="5">
      <formula>ISNUMBER(SEARCH("Include",C69))</formula>
    </cfRule>
  </conditionalFormatting>
  <conditionalFormatting sqref="C69:C82">
    <cfRule type="expression" dxfId="3" priority="6">
      <formula>ISNUMBER(SEARCH("Hold",C69))</formula>
    </cfRule>
  </conditionalFormatting>
  <conditionalFormatting sqref="D87:D95">
    <cfRule type="expression" dxfId="0" priority="7">
      <formula>D87="Indexed"</formula>
    </cfRule>
  </conditionalFormatting>
  <conditionalFormatting sqref="D87:D95">
    <cfRule type="expression" dxfId="1" priority="8">
      <formula>AND(D87&lt;&gt;"",NOT(D87="Indexed"))</formula>
    </cfRule>
  </conditionalFormatting>
  <dataValidations>
    <dataValidation type="list" allowBlank="1" sqref="D87:D95">
      <formula1>"Not requested,Requested,Indexed,Crawled - not indexed,Discovered - not indexed,Excluded - check reason"</formula1>
    </dataValidation>
  </dataValidations>
  <printOptions/>
  <pageMargins bottom="1.0" footer="0.0" header="0.0" left="0.75" right="0.75" top="1.0"/>
  <pageSetup fitToHeight="0" paperSize="9"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9.0"/>
    <col customWidth="1" min="2" max="2" width="24.0"/>
    <col customWidth="1" min="3" max="3" width="46.0"/>
    <col customWidth="1" min="4" max="4" width="36.0"/>
    <col customWidth="1" min="5" max="5" width="40.0"/>
    <col customWidth="1" min="6" max="6" width="30.0"/>
    <col customWidth="1" min="7" max="7" width="28.0"/>
    <col customWidth="1" min="8" max="8" width="30.0"/>
    <col customWidth="1" min="9" max="9" width="11.0"/>
    <col customWidth="1" min="10" max="26" width="8.71"/>
  </cols>
  <sheetData>
    <row r="1" ht="21.75" customHeight="1">
      <c r="A1" s="1" t="s">
        <v>1636</v>
      </c>
    </row>
    <row r="2">
      <c r="A2" s="2" t="s">
        <v>1638</v>
      </c>
    </row>
    <row r="4" ht="18.0" customHeight="1">
      <c r="A4" s="11" t="s">
        <v>1639</v>
      </c>
      <c r="B4" s="12"/>
      <c r="C4" s="12"/>
      <c r="D4" s="12"/>
      <c r="E4" s="12"/>
      <c r="F4" s="12"/>
      <c r="G4" s="12"/>
      <c r="H4" s="12"/>
      <c r="I4" s="12"/>
    </row>
    <row r="5" ht="30.0" customHeight="1">
      <c r="A5" s="4" t="s">
        <v>1640</v>
      </c>
      <c r="B5" s="4" t="s">
        <v>1641</v>
      </c>
      <c r="C5" s="4" t="s">
        <v>1642</v>
      </c>
      <c r="D5" s="4" t="s">
        <v>1643</v>
      </c>
      <c r="E5" s="4" t="s">
        <v>1644</v>
      </c>
      <c r="F5" s="4" t="s">
        <v>1645</v>
      </c>
      <c r="G5" s="4" t="s">
        <v>1646</v>
      </c>
      <c r="H5" s="4" t="s">
        <v>1647</v>
      </c>
      <c r="I5" s="4" t="s">
        <v>796</v>
      </c>
    </row>
    <row r="6" ht="75.0" customHeight="1">
      <c r="A6" s="24" t="s">
        <v>1648</v>
      </c>
      <c r="B6" s="3" t="s">
        <v>1649</v>
      </c>
      <c r="C6" s="8" t="s">
        <v>1651</v>
      </c>
      <c r="D6" s="8" t="s">
        <v>1652</v>
      </c>
      <c r="E6" s="8" t="s">
        <v>1653</v>
      </c>
      <c r="F6" s="50" t="s">
        <v>1654</v>
      </c>
      <c r="G6" s="8" t="s">
        <v>178</v>
      </c>
      <c r="H6" s="8" t="s">
        <v>92</v>
      </c>
      <c r="I6" s="37" t="s">
        <v>1655</v>
      </c>
    </row>
    <row r="7" ht="75.0" customHeight="1">
      <c r="A7" s="24" t="s">
        <v>1657</v>
      </c>
      <c r="B7" s="3" t="s">
        <v>1658</v>
      </c>
      <c r="C7" s="8" t="s">
        <v>1659</v>
      </c>
      <c r="D7" s="8" t="s">
        <v>1660</v>
      </c>
      <c r="E7" s="8" t="s">
        <v>1661</v>
      </c>
      <c r="F7" s="50" t="s">
        <v>1662</v>
      </c>
      <c r="G7" s="8" t="s">
        <v>178</v>
      </c>
      <c r="H7" s="8" t="s">
        <v>1663</v>
      </c>
      <c r="I7" s="37" t="s">
        <v>1655</v>
      </c>
    </row>
    <row r="8" ht="75.0" customHeight="1">
      <c r="A8" s="24" t="s">
        <v>1664</v>
      </c>
      <c r="B8" s="3" t="s">
        <v>1665</v>
      </c>
      <c r="C8" s="8" t="s">
        <v>1666</v>
      </c>
      <c r="D8" s="8" t="s">
        <v>1667</v>
      </c>
      <c r="E8" s="8" t="s">
        <v>1668</v>
      </c>
      <c r="F8" s="50" t="s">
        <v>1669</v>
      </c>
      <c r="G8" s="8" t="s">
        <v>178</v>
      </c>
      <c r="H8" s="8" t="s">
        <v>1670</v>
      </c>
      <c r="I8" s="37" t="s">
        <v>1655</v>
      </c>
    </row>
    <row r="9" ht="75.0" customHeight="1">
      <c r="A9" s="24" t="s">
        <v>1671</v>
      </c>
      <c r="B9" s="3" t="s">
        <v>1672</v>
      </c>
      <c r="C9" s="8" t="s">
        <v>1673</v>
      </c>
      <c r="D9" s="8" t="s">
        <v>1674</v>
      </c>
      <c r="E9" s="8" t="s">
        <v>1675</v>
      </c>
      <c r="F9" s="50" t="s">
        <v>1676</v>
      </c>
      <c r="G9" s="8" t="s">
        <v>178</v>
      </c>
      <c r="H9" s="8" t="s">
        <v>1677</v>
      </c>
      <c r="I9" s="37" t="s">
        <v>1655</v>
      </c>
    </row>
    <row r="10" ht="75.0" customHeight="1">
      <c r="A10" s="24" t="s">
        <v>1678</v>
      </c>
      <c r="B10" s="3" t="s">
        <v>1679</v>
      </c>
      <c r="C10" s="8" t="s">
        <v>1680</v>
      </c>
      <c r="D10" s="8" t="s">
        <v>1681</v>
      </c>
      <c r="E10" s="8" t="s">
        <v>1682</v>
      </c>
      <c r="F10" s="50" t="s">
        <v>1683</v>
      </c>
      <c r="G10" s="8" t="s">
        <v>178</v>
      </c>
      <c r="H10" s="8" t="s">
        <v>61</v>
      </c>
      <c r="I10" s="37" t="s">
        <v>1655</v>
      </c>
    </row>
    <row r="11" ht="75.0" customHeight="1">
      <c r="A11" s="24" t="s">
        <v>1684</v>
      </c>
      <c r="B11" s="3" t="s">
        <v>1685</v>
      </c>
      <c r="C11" s="8" t="s">
        <v>1686</v>
      </c>
      <c r="D11" s="8" t="s">
        <v>178</v>
      </c>
      <c r="E11" s="8" t="s">
        <v>1687</v>
      </c>
      <c r="F11" s="50" t="s">
        <v>1688</v>
      </c>
      <c r="G11" s="8" t="s">
        <v>178</v>
      </c>
      <c r="H11" s="8" t="s">
        <v>1689</v>
      </c>
      <c r="I11" s="37" t="s">
        <v>1655</v>
      </c>
    </row>
    <row r="12" ht="75.0" customHeight="1">
      <c r="A12" s="24" t="s">
        <v>1690</v>
      </c>
      <c r="B12" s="3" t="s">
        <v>1691</v>
      </c>
      <c r="C12" s="8" t="s">
        <v>1692</v>
      </c>
      <c r="D12" s="8" t="s">
        <v>178</v>
      </c>
      <c r="E12" s="8" t="s">
        <v>1693</v>
      </c>
      <c r="F12" s="50" t="s">
        <v>1694</v>
      </c>
      <c r="G12" s="8" t="s">
        <v>1695</v>
      </c>
      <c r="H12" s="8" t="s">
        <v>1696</v>
      </c>
      <c r="I12" s="37" t="s">
        <v>1655</v>
      </c>
    </row>
    <row r="13" ht="75.0" customHeight="1">
      <c r="A13" s="24" t="s">
        <v>1697</v>
      </c>
      <c r="B13" s="3" t="s">
        <v>1698</v>
      </c>
      <c r="C13" s="8" t="s">
        <v>1699</v>
      </c>
      <c r="D13" s="8" t="s">
        <v>178</v>
      </c>
      <c r="E13" s="8" t="s">
        <v>1700</v>
      </c>
      <c r="F13" s="50" t="s">
        <v>1701</v>
      </c>
      <c r="G13" s="8" t="s">
        <v>1702</v>
      </c>
      <c r="H13" s="8" t="s">
        <v>92</v>
      </c>
      <c r="I13" s="37" t="s">
        <v>1655</v>
      </c>
    </row>
    <row r="14" ht="75.0" customHeight="1">
      <c r="A14" s="24" t="s">
        <v>1703</v>
      </c>
      <c r="B14" s="3" t="s">
        <v>1704</v>
      </c>
      <c r="C14" s="8" t="s">
        <v>1705</v>
      </c>
      <c r="D14" s="8" t="s">
        <v>178</v>
      </c>
      <c r="E14" s="8" t="s">
        <v>1706</v>
      </c>
      <c r="F14" s="50" t="s">
        <v>1707</v>
      </c>
      <c r="G14" s="8" t="s">
        <v>1708</v>
      </c>
      <c r="H14" s="8" t="s">
        <v>1696</v>
      </c>
      <c r="I14" s="37" t="s">
        <v>1655</v>
      </c>
    </row>
    <row r="15" ht="75.0" customHeight="1">
      <c r="A15" s="24" t="s">
        <v>1709</v>
      </c>
      <c r="B15" s="3" t="s">
        <v>1710</v>
      </c>
      <c r="C15" s="8" t="s">
        <v>1711</v>
      </c>
      <c r="D15" s="8" t="s">
        <v>1712</v>
      </c>
      <c r="E15" s="8" t="s">
        <v>1713</v>
      </c>
      <c r="F15" s="50" t="s">
        <v>1714</v>
      </c>
      <c r="G15" s="8" t="s">
        <v>178</v>
      </c>
      <c r="H15" s="8" t="s">
        <v>126</v>
      </c>
      <c r="I15" s="37" t="s">
        <v>1655</v>
      </c>
    </row>
    <row r="16" ht="75.0" customHeight="1">
      <c r="A16" s="24" t="s">
        <v>1715</v>
      </c>
      <c r="B16" s="3" t="s">
        <v>1716</v>
      </c>
      <c r="C16" s="8" t="s">
        <v>1717</v>
      </c>
      <c r="D16" s="8" t="s">
        <v>178</v>
      </c>
      <c r="E16" s="8" t="s">
        <v>1718</v>
      </c>
      <c r="F16" s="50" t="s">
        <v>1719</v>
      </c>
      <c r="G16" s="8" t="s">
        <v>178</v>
      </c>
      <c r="H16" s="8" t="s">
        <v>1721</v>
      </c>
      <c r="I16" s="37" t="s">
        <v>1655</v>
      </c>
    </row>
    <row r="17" ht="75.0" customHeight="1">
      <c r="A17" s="24" t="s">
        <v>1722</v>
      </c>
      <c r="B17" s="3" t="s">
        <v>1723</v>
      </c>
      <c r="C17" s="8" t="s">
        <v>1724</v>
      </c>
      <c r="D17" s="8" t="s">
        <v>178</v>
      </c>
      <c r="E17" s="8" t="s">
        <v>1725</v>
      </c>
      <c r="F17" s="50" t="s">
        <v>1726</v>
      </c>
      <c r="G17" s="8" t="s">
        <v>1727</v>
      </c>
      <c r="H17" s="8" t="s">
        <v>1689</v>
      </c>
      <c r="I17" s="37" t="s">
        <v>1655</v>
      </c>
    </row>
    <row r="18" ht="75.0" customHeight="1">
      <c r="A18" s="24" t="s">
        <v>1728</v>
      </c>
      <c r="B18" s="3" t="s">
        <v>1729</v>
      </c>
      <c r="C18" s="8" t="s">
        <v>1730</v>
      </c>
      <c r="D18" s="8" t="s">
        <v>1731</v>
      </c>
      <c r="E18" s="8" t="s">
        <v>1732</v>
      </c>
      <c r="F18" s="50" t="s">
        <v>1733</v>
      </c>
      <c r="G18" s="8" t="s">
        <v>178</v>
      </c>
      <c r="H18" s="8" t="s">
        <v>1734</v>
      </c>
      <c r="I18" s="37" t="s">
        <v>1655</v>
      </c>
    </row>
    <row r="19" ht="75.0" customHeight="1">
      <c r="A19" s="24" t="s">
        <v>1735</v>
      </c>
      <c r="B19" s="3" t="s">
        <v>1736</v>
      </c>
      <c r="C19" s="8" t="s">
        <v>1737</v>
      </c>
      <c r="D19" s="8" t="s">
        <v>1738</v>
      </c>
      <c r="E19" s="8" t="s">
        <v>1739</v>
      </c>
      <c r="F19" s="50" t="s">
        <v>1740</v>
      </c>
      <c r="G19" s="8" t="s">
        <v>178</v>
      </c>
      <c r="H19" s="8" t="s">
        <v>1741</v>
      </c>
      <c r="I19" s="37" t="s">
        <v>1655</v>
      </c>
    </row>
    <row r="20" ht="75.0" customHeight="1">
      <c r="A20" s="24" t="s">
        <v>1742</v>
      </c>
      <c r="B20" s="3" t="s">
        <v>1743</v>
      </c>
      <c r="C20" s="8" t="s">
        <v>1744</v>
      </c>
      <c r="D20" s="8" t="s">
        <v>178</v>
      </c>
      <c r="E20" s="8" t="s">
        <v>1746</v>
      </c>
      <c r="F20" s="50" t="s">
        <v>1747</v>
      </c>
      <c r="G20" s="8" t="s">
        <v>1748</v>
      </c>
      <c r="H20" s="8" t="s">
        <v>1750</v>
      </c>
      <c r="I20" s="37" t="s">
        <v>1655</v>
      </c>
    </row>
    <row r="21" ht="15.75" customHeight="1">
      <c r="H21" s="3" t="s">
        <v>226</v>
      </c>
      <c r="I21" s="24" t="str">
        <f>COUNTIF(I6:I20,"Live")&amp;" of "&amp;COUNTA(A6:A20)</f>
        <v>0 of 15</v>
      </c>
    </row>
    <row r="22" ht="15.75" customHeight="1"/>
    <row r="23" ht="18.0" customHeight="1">
      <c r="A23" s="11" t="s">
        <v>1756</v>
      </c>
      <c r="B23" s="12"/>
      <c r="C23" s="12"/>
      <c r="D23" s="12"/>
      <c r="E23" s="12"/>
      <c r="F23" s="12"/>
      <c r="G23" s="12"/>
      <c r="H23" s="12"/>
      <c r="I23" s="12"/>
    </row>
    <row r="24" ht="30.0" customHeight="1">
      <c r="A24" s="4" t="s">
        <v>439</v>
      </c>
      <c r="B24" s="4" t="s">
        <v>433</v>
      </c>
      <c r="C24" s="4" t="s">
        <v>1758</v>
      </c>
      <c r="D24" s="4" t="s">
        <v>1641</v>
      </c>
      <c r="E24" s="4" t="s">
        <v>1759</v>
      </c>
      <c r="F24" s="4" t="s">
        <v>1464</v>
      </c>
      <c r="G24" s="32" t="s">
        <v>1760</v>
      </c>
      <c r="H24" s="9"/>
      <c r="I24" s="4" t="s">
        <v>796</v>
      </c>
    </row>
    <row r="25" ht="45.0" customHeight="1">
      <c r="A25" s="8" t="s">
        <v>475</v>
      </c>
      <c r="B25" s="8" t="s">
        <v>25</v>
      </c>
      <c r="C25" s="24" t="s">
        <v>1664</v>
      </c>
      <c r="D25" s="8" t="s">
        <v>1665</v>
      </c>
      <c r="E25" s="8" t="s">
        <v>1764</v>
      </c>
      <c r="F25" s="8" t="s">
        <v>1765</v>
      </c>
      <c r="G25" s="54" t="s">
        <v>545</v>
      </c>
      <c r="H25" s="9"/>
      <c r="I25" s="6" t="str">
        <f t="shared" ref="I25:I46" si="1">IFERROR(INDEX($I$6:$I$20,MATCH(C25,$A$6:$A$20,0)),"")</f>
        <v>To shoot</v>
      </c>
    </row>
    <row r="26" ht="45.0" customHeight="1">
      <c r="A26" s="8" t="s">
        <v>475</v>
      </c>
      <c r="B26" s="8" t="s">
        <v>25</v>
      </c>
      <c r="C26" s="24" t="s">
        <v>1690</v>
      </c>
      <c r="D26" s="8" t="s">
        <v>1691</v>
      </c>
      <c r="E26" s="8" t="s">
        <v>1776</v>
      </c>
      <c r="F26" s="8" t="s">
        <v>1777</v>
      </c>
      <c r="G26" s="54"/>
      <c r="H26" s="9"/>
      <c r="I26" s="6" t="str">
        <f t="shared" si="1"/>
        <v>To shoot</v>
      </c>
    </row>
    <row r="27" ht="45.0" customHeight="1">
      <c r="A27" s="8" t="s">
        <v>475</v>
      </c>
      <c r="B27" s="8" t="s">
        <v>25</v>
      </c>
      <c r="C27" s="24" t="s">
        <v>1703</v>
      </c>
      <c r="D27" s="8" t="s">
        <v>1704</v>
      </c>
      <c r="E27" s="8" t="s">
        <v>1782</v>
      </c>
      <c r="F27" s="8" t="s">
        <v>1783</v>
      </c>
      <c r="G27" s="54"/>
      <c r="H27" s="9"/>
      <c r="I27" s="6" t="str">
        <f t="shared" si="1"/>
        <v>To shoot</v>
      </c>
    </row>
    <row r="28" ht="45.0" customHeight="1">
      <c r="A28" s="8" t="s">
        <v>587</v>
      </c>
      <c r="B28" s="8" t="s">
        <v>61</v>
      </c>
      <c r="C28" s="24" t="s">
        <v>1678</v>
      </c>
      <c r="D28" s="8" t="s">
        <v>1679</v>
      </c>
      <c r="E28" s="8" t="s">
        <v>1784</v>
      </c>
      <c r="F28" s="8" t="s">
        <v>1765</v>
      </c>
      <c r="G28" s="54" t="s">
        <v>678</v>
      </c>
      <c r="H28" s="9"/>
      <c r="I28" s="6" t="str">
        <f t="shared" si="1"/>
        <v>To shoot</v>
      </c>
    </row>
    <row r="29" ht="45.0" customHeight="1">
      <c r="A29" s="8" t="s">
        <v>587</v>
      </c>
      <c r="B29" s="8" t="s">
        <v>61</v>
      </c>
      <c r="C29" s="24" t="s">
        <v>1684</v>
      </c>
      <c r="D29" s="8" t="s">
        <v>1685</v>
      </c>
      <c r="E29" s="8" t="s">
        <v>1785</v>
      </c>
      <c r="F29" s="8" t="s">
        <v>1777</v>
      </c>
      <c r="G29" s="54"/>
      <c r="H29" s="9"/>
      <c r="I29" s="6" t="str">
        <f t="shared" si="1"/>
        <v>To shoot</v>
      </c>
    </row>
    <row r="30" ht="45.0" customHeight="1">
      <c r="A30" s="8" t="s">
        <v>587</v>
      </c>
      <c r="B30" s="8" t="s">
        <v>61</v>
      </c>
      <c r="C30" s="24" t="s">
        <v>1722</v>
      </c>
      <c r="D30" s="8" t="s">
        <v>1723</v>
      </c>
      <c r="E30" s="8" t="s">
        <v>1786</v>
      </c>
      <c r="F30" s="8" t="s">
        <v>1783</v>
      </c>
      <c r="G30" s="54"/>
      <c r="H30" s="9"/>
      <c r="I30" s="6" t="str">
        <f t="shared" si="1"/>
        <v>To shoot</v>
      </c>
    </row>
    <row r="31" ht="45.0" customHeight="1">
      <c r="A31" s="8" t="s">
        <v>687</v>
      </c>
      <c r="B31" s="8" t="s">
        <v>92</v>
      </c>
      <c r="C31" s="24" t="s">
        <v>1648</v>
      </c>
      <c r="D31" s="8" t="s">
        <v>1649</v>
      </c>
      <c r="E31" s="8" t="s">
        <v>1787</v>
      </c>
      <c r="F31" s="8" t="s">
        <v>1765</v>
      </c>
      <c r="G31" s="54" t="s">
        <v>730</v>
      </c>
      <c r="H31" s="9"/>
      <c r="I31" s="6" t="str">
        <f t="shared" si="1"/>
        <v>To shoot</v>
      </c>
    </row>
    <row r="32" ht="45.0" customHeight="1">
      <c r="A32" s="8" t="s">
        <v>687</v>
      </c>
      <c r="B32" s="8" t="s">
        <v>92</v>
      </c>
      <c r="C32" s="24" t="s">
        <v>1697</v>
      </c>
      <c r="D32" s="8" t="s">
        <v>1698</v>
      </c>
      <c r="E32" s="8" t="s">
        <v>1788</v>
      </c>
      <c r="F32" s="8" t="s">
        <v>1777</v>
      </c>
      <c r="G32" s="54"/>
      <c r="H32" s="9"/>
      <c r="I32" s="6" t="str">
        <f t="shared" si="1"/>
        <v>To shoot</v>
      </c>
    </row>
    <row r="33" ht="45.0" customHeight="1">
      <c r="A33" s="8" t="s">
        <v>687</v>
      </c>
      <c r="B33" s="8" t="s">
        <v>92</v>
      </c>
      <c r="C33" s="24" t="s">
        <v>1715</v>
      </c>
      <c r="D33" s="8" t="s">
        <v>1716</v>
      </c>
      <c r="E33" s="8" t="s">
        <v>1789</v>
      </c>
      <c r="F33" s="8" t="s">
        <v>1783</v>
      </c>
      <c r="G33" s="54"/>
      <c r="H33" s="9"/>
      <c r="I33" s="6" t="str">
        <f t="shared" si="1"/>
        <v>To shoot</v>
      </c>
    </row>
    <row r="34" ht="45.0" customHeight="1">
      <c r="A34" s="8" t="s">
        <v>734</v>
      </c>
      <c r="B34" s="8" t="s">
        <v>126</v>
      </c>
      <c r="C34" s="24" t="s">
        <v>1690</v>
      </c>
      <c r="D34" s="8" t="s">
        <v>1691</v>
      </c>
      <c r="E34" s="8" t="s">
        <v>1790</v>
      </c>
      <c r="F34" s="8" t="s">
        <v>1765</v>
      </c>
      <c r="G34" s="54" t="s">
        <v>773</v>
      </c>
      <c r="H34" s="9"/>
      <c r="I34" s="6" t="str">
        <f t="shared" si="1"/>
        <v>To shoot</v>
      </c>
    </row>
    <row r="35" ht="45.0" customHeight="1">
      <c r="A35" s="8" t="s">
        <v>734</v>
      </c>
      <c r="B35" s="8" t="s">
        <v>126</v>
      </c>
      <c r="C35" s="24" t="s">
        <v>1703</v>
      </c>
      <c r="D35" s="8" t="s">
        <v>1704</v>
      </c>
      <c r="E35" s="8" t="s">
        <v>1791</v>
      </c>
      <c r="F35" s="8" t="s">
        <v>1777</v>
      </c>
      <c r="G35" s="54"/>
      <c r="H35" s="9"/>
      <c r="I35" s="6" t="str">
        <f t="shared" si="1"/>
        <v>To shoot</v>
      </c>
    </row>
    <row r="36" ht="45.0" customHeight="1">
      <c r="A36" s="8" t="s">
        <v>734</v>
      </c>
      <c r="B36" s="8" t="s">
        <v>126</v>
      </c>
      <c r="C36" s="24" t="s">
        <v>1709</v>
      </c>
      <c r="D36" s="8" t="s">
        <v>1710</v>
      </c>
      <c r="E36" s="8" t="s">
        <v>1792</v>
      </c>
      <c r="F36" s="8" t="s">
        <v>1783</v>
      </c>
      <c r="G36" s="54"/>
      <c r="H36" s="9"/>
      <c r="I36" s="6" t="str">
        <f t="shared" si="1"/>
        <v>To shoot</v>
      </c>
    </row>
    <row r="37" ht="45.0" customHeight="1">
      <c r="A37" s="8" t="s">
        <v>776</v>
      </c>
      <c r="B37" s="8" t="s">
        <v>151</v>
      </c>
      <c r="C37" s="24" t="s">
        <v>1722</v>
      </c>
      <c r="D37" s="8" t="s">
        <v>1723</v>
      </c>
      <c r="E37" s="8" t="s">
        <v>1793</v>
      </c>
      <c r="F37" s="8" t="s">
        <v>1765</v>
      </c>
      <c r="G37" s="54" t="s">
        <v>797</v>
      </c>
      <c r="H37" s="9"/>
      <c r="I37" s="6" t="str">
        <f t="shared" si="1"/>
        <v>To shoot</v>
      </c>
    </row>
    <row r="38" ht="45.0" customHeight="1">
      <c r="A38" s="8" t="s">
        <v>776</v>
      </c>
      <c r="B38" s="8" t="s">
        <v>151</v>
      </c>
      <c r="C38" s="24" t="s">
        <v>1684</v>
      </c>
      <c r="D38" s="8" t="s">
        <v>1685</v>
      </c>
      <c r="E38" s="8" t="s">
        <v>1794</v>
      </c>
      <c r="F38" s="8" t="s">
        <v>1777</v>
      </c>
      <c r="G38" s="54"/>
      <c r="H38" s="9"/>
      <c r="I38" s="6" t="str">
        <f t="shared" si="1"/>
        <v>To shoot</v>
      </c>
    </row>
    <row r="39" ht="45.0" customHeight="1">
      <c r="A39" s="8" t="s">
        <v>776</v>
      </c>
      <c r="B39" s="8" t="s">
        <v>151</v>
      </c>
      <c r="C39" s="24" t="s">
        <v>1728</v>
      </c>
      <c r="D39" s="8" t="s">
        <v>1729</v>
      </c>
      <c r="E39" s="8" t="s">
        <v>1796</v>
      </c>
      <c r="F39" s="8" t="s">
        <v>1783</v>
      </c>
      <c r="G39" s="54"/>
      <c r="H39" s="9"/>
      <c r="I39" s="6" t="str">
        <f t="shared" si="1"/>
        <v>To shoot</v>
      </c>
    </row>
    <row r="40" ht="45.0" customHeight="1">
      <c r="A40" s="8" t="s">
        <v>802</v>
      </c>
      <c r="B40" s="8" t="s">
        <v>715</v>
      </c>
      <c r="C40" s="24" t="s">
        <v>1728</v>
      </c>
      <c r="D40" s="8" t="s">
        <v>1729</v>
      </c>
      <c r="E40" s="8" t="s">
        <v>1797</v>
      </c>
      <c r="F40" s="8" t="s">
        <v>1765</v>
      </c>
      <c r="G40" s="54" t="s">
        <v>820</v>
      </c>
      <c r="H40" s="9"/>
      <c r="I40" s="6" t="str">
        <f t="shared" si="1"/>
        <v>To shoot</v>
      </c>
    </row>
    <row r="41" ht="45.0" customHeight="1">
      <c r="A41" s="8" t="s">
        <v>802</v>
      </c>
      <c r="B41" s="8" t="s">
        <v>715</v>
      </c>
      <c r="C41" s="24" t="s">
        <v>1735</v>
      </c>
      <c r="D41" s="8" t="s">
        <v>1736</v>
      </c>
      <c r="E41" s="8" t="s">
        <v>1798</v>
      </c>
      <c r="F41" s="8" t="s">
        <v>1777</v>
      </c>
      <c r="G41" s="54"/>
      <c r="H41" s="9"/>
      <c r="I41" s="6" t="str">
        <f t="shared" si="1"/>
        <v>To shoot</v>
      </c>
    </row>
    <row r="42" ht="45.0" customHeight="1">
      <c r="A42" s="8" t="s">
        <v>802</v>
      </c>
      <c r="B42" s="8" t="s">
        <v>715</v>
      </c>
      <c r="C42" s="24" t="s">
        <v>1715</v>
      </c>
      <c r="D42" s="8" t="s">
        <v>1716</v>
      </c>
      <c r="E42" s="8" t="s">
        <v>1799</v>
      </c>
      <c r="F42" s="8" t="s">
        <v>1783</v>
      </c>
      <c r="G42" s="54"/>
      <c r="H42" s="9"/>
      <c r="I42" s="6" t="str">
        <f t="shared" si="1"/>
        <v>To shoot</v>
      </c>
    </row>
    <row r="43" ht="45.0" customHeight="1">
      <c r="A43" s="8" t="s">
        <v>822</v>
      </c>
      <c r="B43" s="8" t="s">
        <v>754</v>
      </c>
      <c r="C43" s="24" t="s">
        <v>1664</v>
      </c>
      <c r="D43" s="8" t="s">
        <v>1665</v>
      </c>
      <c r="E43" s="8" t="s">
        <v>1800</v>
      </c>
      <c r="F43" s="8" t="s">
        <v>1765</v>
      </c>
      <c r="G43" s="54" t="s">
        <v>545</v>
      </c>
      <c r="H43" s="9"/>
      <c r="I43" s="6" t="str">
        <f t="shared" si="1"/>
        <v>To shoot</v>
      </c>
    </row>
    <row r="44" ht="45.0" customHeight="1">
      <c r="A44" s="8" t="s">
        <v>822</v>
      </c>
      <c r="B44" s="8" t="s">
        <v>754</v>
      </c>
      <c r="C44" s="24" t="s">
        <v>1715</v>
      </c>
      <c r="D44" s="8" t="s">
        <v>1716</v>
      </c>
      <c r="E44" s="8" t="s">
        <v>1801</v>
      </c>
      <c r="F44" s="8" t="s">
        <v>1777</v>
      </c>
      <c r="G44" s="54"/>
      <c r="H44" s="9"/>
      <c r="I44" s="6" t="str">
        <f t="shared" si="1"/>
        <v>To shoot</v>
      </c>
    </row>
    <row r="45" ht="45.0" customHeight="1">
      <c r="A45" s="8" t="s">
        <v>845</v>
      </c>
      <c r="B45" s="8" t="s">
        <v>761</v>
      </c>
      <c r="C45" s="24" t="s">
        <v>1735</v>
      </c>
      <c r="D45" s="8" t="s">
        <v>1736</v>
      </c>
      <c r="E45" s="8" t="s">
        <v>1802</v>
      </c>
      <c r="F45" s="8" t="s">
        <v>1765</v>
      </c>
      <c r="G45" s="54" t="s">
        <v>820</v>
      </c>
      <c r="H45" s="9"/>
      <c r="I45" s="6" t="str">
        <f t="shared" si="1"/>
        <v>To shoot</v>
      </c>
    </row>
    <row r="46" ht="45.0" customHeight="1">
      <c r="A46" s="8" t="s">
        <v>845</v>
      </c>
      <c r="B46" s="8" t="s">
        <v>761</v>
      </c>
      <c r="C46" s="24" t="s">
        <v>1728</v>
      </c>
      <c r="D46" s="8" t="s">
        <v>1729</v>
      </c>
      <c r="E46" s="8" t="s">
        <v>1803</v>
      </c>
      <c r="F46" s="8" t="s">
        <v>1777</v>
      </c>
      <c r="G46" s="54"/>
      <c r="H46" s="9"/>
      <c r="I46" s="6" t="str">
        <f t="shared" si="1"/>
        <v>To shoot</v>
      </c>
    </row>
    <row r="47" ht="15.75" customHeight="1"/>
    <row r="48" ht="18.0" customHeight="1">
      <c r="A48" s="11" t="s">
        <v>1804</v>
      </c>
      <c r="B48" s="12"/>
      <c r="C48" s="12"/>
      <c r="D48" s="12"/>
      <c r="E48" s="12"/>
      <c r="F48" s="12"/>
      <c r="G48" s="12"/>
      <c r="H48" s="12"/>
      <c r="I48" s="12"/>
    </row>
    <row r="49" ht="30.0" customHeight="1">
      <c r="A49" s="4" t="s">
        <v>1640</v>
      </c>
      <c r="B49" s="4" t="s">
        <v>1805</v>
      </c>
      <c r="C49" s="4" t="s">
        <v>1806</v>
      </c>
      <c r="D49" s="4" t="s">
        <v>1807</v>
      </c>
      <c r="E49" s="4" t="s">
        <v>1808</v>
      </c>
      <c r="F49" s="4" t="s">
        <v>1646</v>
      </c>
      <c r="G49" s="32" t="s">
        <v>1809</v>
      </c>
      <c r="H49" s="9"/>
      <c r="I49" s="4" t="s">
        <v>796</v>
      </c>
    </row>
    <row r="50" ht="75.0" customHeight="1">
      <c r="A50" s="24" t="s">
        <v>545</v>
      </c>
      <c r="B50" s="3" t="s">
        <v>1810</v>
      </c>
      <c r="C50" s="8" t="s">
        <v>1811</v>
      </c>
      <c r="D50" s="6" t="s">
        <v>1812</v>
      </c>
      <c r="E50" s="8" t="s">
        <v>1813</v>
      </c>
      <c r="F50" s="8" t="s">
        <v>1814</v>
      </c>
      <c r="G50" s="15" t="s">
        <v>1815</v>
      </c>
      <c r="H50" s="9"/>
      <c r="I50" s="37" t="s">
        <v>1655</v>
      </c>
    </row>
    <row r="51" ht="75.0" customHeight="1">
      <c r="A51" s="24" t="s">
        <v>678</v>
      </c>
      <c r="B51" s="3" t="s">
        <v>1816</v>
      </c>
      <c r="C51" s="8" t="s">
        <v>1817</v>
      </c>
      <c r="D51" s="6" t="s">
        <v>1818</v>
      </c>
      <c r="E51" s="8" t="s">
        <v>61</v>
      </c>
      <c r="F51" s="8" t="s">
        <v>1819</v>
      </c>
      <c r="G51" s="15" t="s">
        <v>1815</v>
      </c>
      <c r="H51" s="9"/>
      <c r="I51" s="37" t="s">
        <v>1655</v>
      </c>
    </row>
    <row r="52" ht="75.0" customHeight="1">
      <c r="A52" s="24" t="s">
        <v>773</v>
      </c>
      <c r="B52" s="3" t="s">
        <v>1820</v>
      </c>
      <c r="C52" s="8" t="s">
        <v>1821</v>
      </c>
      <c r="D52" s="6" t="s">
        <v>1818</v>
      </c>
      <c r="E52" s="8" t="s">
        <v>126</v>
      </c>
      <c r="F52" s="8" t="s">
        <v>1822</v>
      </c>
      <c r="G52" s="15" t="s">
        <v>1815</v>
      </c>
      <c r="H52" s="9"/>
      <c r="I52" s="37" t="s">
        <v>1655</v>
      </c>
    </row>
    <row r="53" ht="75.0" customHeight="1">
      <c r="A53" s="24" t="s">
        <v>797</v>
      </c>
      <c r="B53" s="3" t="s">
        <v>1823</v>
      </c>
      <c r="C53" s="8" t="s">
        <v>1824</v>
      </c>
      <c r="D53" s="6" t="s">
        <v>1825</v>
      </c>
      <c r="E53" s="8" t="s">
        <v>151</v>
      </c>
      <c r="F53" s="8" t="s">
        <v>1826</v>
      </c>
      <c r="G53" s="15" t="s">
        <v>1815</v>
      </c>
      <c r="H53" s="9"/>
      <c r="I53" s="37" t="s">
        <v>1655</v>
      </c>
    </row>
    <row r="54" ht="75.0" customHeight="1">
      <c r="A54" s="24" t="s">
        <v>820</v>
      </c>
      <c r="B54" s="3" t="s">
        <v>1827</v>
      </c>
      <c r="C54" s="8" t="s">
        <v>1828</v>
      </c>
      <c r="D54" s="6" t="s">
        <v>1818</v>
      </c>
      <c r="E54" s="8" t="s">
        <v>1829</v>
      </c>
      <c r="F54" s="8" t="s">
        <v>178</v>
      </c>
      <c r="G54" s="15" t="s">
        <v>1815</v>
      </c>
      <c r="H54" s="9"/>
      <c r="I54" s="37" t="s">
        <v>1655</v>
      </c>
    </row>
    <row r="55" ht="15.75" customHeight="1"/>
    <row r="56" ht="18.0" customHeight="1">
      <c r="A56" s="11" t="s">
        <v>1830</v>
      </c>
      <c r="B56" s="12"/>
      <c r="C56" s="12"/>
      <c r="D56" s="12"/>
      <c r="E56" s="12"/>
      <c r="F56" s="12"/>
      <c r="G56" s="12"/>
      <c r="H56" s="12"/>
      <c r="I56" s="12"/>
    </row>
    <row r="57" ht="15.75" customHeight="1">
      <c r="A57" s="55" t="s">
        <v>1831</v>
      </c>
      <c r="B57" s="9"/>
      <c r="C57" s="15" t="s">
        <v>1832</v>
      </c>
      <c r="D57" s="7"/>
      <c r="E57" s="7"/>
      <c r="F57" s="7"/>
      <c r="G57" s="7"/>
      <c r="H57" s="7"/>
      <c r="I57" s="9"/>
    </row>
    <row r="58" ht="30.0" customHeight="1">
      <c r="A58" s="55" t="s">
        <v>1833</v>
      </c>
      <c r="B58" s="9"/>
      <c r="C58" s="15" t="s">
        <v>1834</v>
      </c>
      <c r="D58" s="7"/>
      <c r="E58" s="7"/>
      <c r="F58" s="7"/>
      <c r="G58" s="7"/>
      <c r="H58" s="7"/>
      <c r="I58" s="9"/>
    </row>
    <row r="59" ht="30.0" customHeight="1">
      <c r="A59" s="55" t="s">
        <v>1835</v>
      </c>
      <c r="B59" s="9"/>
      <c r="C59" s="15" t="s">
        <v>1836</v>
      </c>
      <c r="D59" s="7"/>
      <c r="E59" s="7"/>
      <c r="F59" s="7"/>
      <c r="G59" s="7"/>
      <c r="H59" s="7"/>
      <c r="I59" s="9"/>
    </row>
    <row r="60" ht="15.75" customHeight="1">
      <c r="A60" s="55" t="s">
        <v>1837</v>
      </c>
      <c r="B60" s="9"/>
      <c r="C60" s="15" t="s">
        <v>1838</v>
      </c>
      <c r="D60" s="7"/>
      <c r="E60" s="7"/>
      <c r="F60" s="7"/>
      <c r="G60" s="7"/>
      <c r="H60" s="7"/>
      <c r="I60" s="9"/>
    </row>
    <row r="61" ht="15.75" customHeight="1">
      <c r="A61" s="55" t="s">
        <v>1839</v>
      </c>
      <c r="B61" s="9"/>
      <c r="C61" s="15" t="s">
        <v>1840</v>
      </c>
      <c r="D61" s="7"/>
      <c r="E61" s="7"/>
      <c r="F61" s="7"/>
      <c r="G61" s="7"/>
      <c r="H61" s="7"/>
      <c r="I61" s="9"/>
    </row>
    <row r="62" ht="30.0" customHeight="1">
      <c r="A62" s="55" t="s">
        <v>1841</v>
      </c>
      <c r="B62" s="9"/>
      <c r="C62" s="15" t="s">
        <v>1842</v>
      </c>
      <c r="D62" s="7"/>
      <c r="E62" s="7"/>
      <c r="F62" s="7"/>
      <c r="G62" s="7"/>
      <c r="H62" s="7"/>
      <c r="I62" s="9"/>
    </row>
    <row r="63" ht="30.0" customHeight="1">
      <c r="A63" s="55" t="s">
        <v>1843</v>
      </c>
      <c r="B63" s="9"/>
      <c r="C63" s="15" t="s">
        <v>1844</v>
      </c>
      <c r="D63" s="7"/>
      <c r="E63" s="7"/>
      <c r="F63" s="7"/>
      <c r="G63" s="7"/>
      <c r="H63" s="7"/>
      <c r="I63" s="9"/>
    </row>
    <row r="64" ht="30.0" customHeight="1">
      <c r="A64" s="55" t="s">
        <v>1845</v>
      </c>
      <c r="B64" s="9"/>
      <c r="C64" s="15" t="s">
        <v>1847</v>
      </c>
      <c r="D64" s="7"/>
      <c r="E64" s="7"/>
      <c r="F64" s="7"/>
      <c r="G64" s="7"/>
      <c r="H64" s="7"/>
      <c r="I64" s="9"/>
    </row>
    <row r="65" ht="15.75" customHeight="1">
      <c r="A65" s="55" t="s">
        <v>1850</v>
      </c>
      <c r="B65" s="9"/>
      <c r="C65" s="15" t="s">
        <v>1851</v>
      </c>
      <c r="D65" s="7"/>
      <c r="E65" s="7"/>
      <c r="F65" s="7"/>
      <c r="G65" s="7"/>
      <c r="H65" s="7"/>
      <c r="I65" s="9"/>
    </row>
    <row r="66" ht="30.0" customHeight="1">
      <c r="A66" s="55" t="s">
        <v>1760</v>
      </c>
      <c r="B66" s="9"/>
      <c r="C66" s="15" t="s">
        <v>1857</v>
      </c>
      <c r="D66" s="7"/>
      <c r="E66" s="7"/>
      <c r="F66" s="7"/>
      <c r="G66" s="7"/>
      <c r="H66" s="7"/>
      <c r="I66" s="9"/>
    </row>
    <row r="67" ht="15.75" customHeight="1"/>
    <row r="68" ht="18.0" customHeight="1">
      <c r="A68" s="11" t="s">
        <v>1859</v>
      </c>
      <c r="B68" s="12"/>
      <c r="C68" s="12"/>
      <c r="D68" s="12"/>
      <c r="E68" s="12"/>
      <c r="F68" s="12"/>
      <c r="G68" s="12"/>
      <c r="H68" s="12"/>
      <c r="I68" s="12"/>
    </row>
    <row r="69" ht="43.5" customHeight="1">
      <c r="A69" s="53" t="s">
        <v>1860</v>
      </c>
      <c r="B69" s="7"/>
      <c r="C69" s="7"/>
      <c r="D69" s="7"/>
      <c r="E69" s="7"/>
      <c r="F69" s="7"/>
      <c r="G69" s="7"/>
      <c r="H69" s="7"/>
      <c r="I69" s="9"/>
    </row>
    <row r="70" ht="15.75" customHeight="1">
      <c r="A70" s="28" t="s">
        <v>1861</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1">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9:H49"/>
    <mergeCell ref="G50:H50"/>
    <mergeCell ref="G51:H51"/>
    <mergeCell ref="G52:H52"/>
    <mergeCell ref="G53:H53"/>
    <mergeCell ref="G54:H54"/>
    <mergeCell ref="A57:B57"/>
    <mergeCell ref="C57:I57"/>
    <mergeCell ref="A58:B58"/>
    <mergeCell ref="C58:I58"/>
    <mergeCell ref="A59:B59"/>
    <mergeCell ref="C59:I59"/>
    <mergeCell ref="A63:B63"/>
    <mergeCell ref="A64:B64"/>
    <mergeCell ref="A65:B65"/>
    <mergeCell ref="A66:B66"/>
    <mergeCell ref="C64:I64"/>
    <mergeCell ref="C65:I65"/>
    <mergeCell ref="C66:I66"/>
    <mergeCell ref="A69:I69"/>
    <mergeCell ref="A70:I70"/>
    <mergeCell ref="A60:B60"/>
    <mergeCell ref="C60:I60"/>
    <mergeCell ref="A61:B61"/>
    <mergeCell ref="C61:I61"/>
    <mergeCell ref="A62:B62"/>
    <mergeCell ref="C62:I62"/>
    <mergeCell ref="C63:I63"/>
  </mergeCells>
  <conditionalFormatting sqref="G6:G20">
    <cfRule type="expression" dxfId="3" priority="1">
      <formula>OR(ISNUMBER(FIND("[CLIENT",G6)),ISNUMBER(FIND("[CONFIRM",G6)),ISNUMBER(FIND("[DEV",G6)))</formula>
    </cfRule>
  </conditionalFormatting>
  <conditionalFormatting sqref="E25:E46">
    <cfRule type="expression" dxfId="3" priority="2">
      <formula>OR(ISNUMBER(FIND("[CLIENT",E25)),ISNUMBER(FIND("[CONFIRM",E25)),ISNUMBER(FIND("[DEV",E25)))</formula>
    </cfRule>
  </conditionalFormatting>
  <conditionalFormatting sqref="F50:F54">
    <cfRule type="expression" dxfId="3" priority="3">
      <formula>OR(ISNUMBER(FIND("[CLIENT",F50)),ISNUMBER(FIND("[CONFIRM",F50)),ISNUMBER(FIND("[DEV",F50)))</formula>
    </cfRule>
  </conditionalFormatting>
  <dataValidations>
    <dataValidation type="list" allowBlank="1" sqref="I6:I20 I50:I54">
      <formula1>"To shoot,Shot,Edited,Uploaded,Live,Dropped"</formula1>
    </dataValidation>
  </dataValidations>
  <printOptions/>
  <pageMargins bottom="1.0" footer="0.0" header="0.0" left="0.75" right="0.75" top="1.0"/>
  <pageSetup fitToHeight="0" paperSize="9"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2.0"/>
    <col customWidth="1" min="2" max="2" width="34.0"/>
    <col customWidth="1" min="3" max="4" width="16.0"/>
    <col customWidth="1" min="5" max="5" width="18.0"/>
    <col customWidth="1" min="6" max="6" width="14.0"/>
    <col customWidth="1" min="7" max="7" width="18.0"/>
    <col customWidth="1" min="8" max="8" width="44.0"/>
    <col customWidth="1" min="9" max="26" width="8.71"/>
  </cols>
  <sheetData>
    <row r="1" ht="21.75" customHeight="1">
      <c r="A1" s="1" t="s">
        <v>1846</v>
      </c>
    </row>
    <row r="2">
      <c r="A2" s="2" t="s">
        <v>1848</v>
      </c>
    </row>
    <row r="4" ht="18.0" customHeight="1">
      <c r="A4" s="11" t="s">
        <v>1849</v>
      </c>
      <c r="B4" s="12"/>
      <c r="C4" s="12"/>
      <c r="D4" s="12"/>
      <c r="E4" s="12"/>
      <c r="F4" s="12"/>
      <c r="G4" s="12"/>
      <c r="H4" s="12"/>
    </row>
    <row r="5" ht="30.0" customHeight="1">
      <c r="A5" s="4" t="s">
        <v>1852</v>
      </c>
      <c r="B5" s="4" t="s">
        <v>1853</v>
      </c>
      <c r="C5" s="4" t="s">
        <v>1854</v>
      </c>
      <c r="D5" s="4" t="s">
        <v>1855</v>
      </c>
      <c r="E5" s="4" t="s">
        <v>1856</v>
      </c>
    </row>
    <row r="6">
      <c r="A6" s="3" t="s">
        <v>1858</v>
      </c>
      <c r="B6" s="56">
        <v>19.6</v>
      </c>
      <c r="C6" s="43">
        <v>285.0</v>
      </c>
      <c r="D6" s="49">
        <f t="shared" ref="D6:D12" si="1">B6*14.5038</f>
        <v>284.27448</v>
      </c>
      <c r="E6" s="6" t="str">
        <f t="shared" ref="E6:E12" si="2">IF(ABS(D6-C6)/C6&lt;0.01,"OK","CHECK")</f>
        <v>OK</v>
      </c>
    </row>
    <row r="7">
      <c r="A7" s="3" t="s">
        <v>1862</v>
      </c>
      <c r="B7" s="56">
        <v>51.1</v>
      </c>
      <c r="C7" s="43">
        <v>740.0</v>
      </c>
      <c r="D7" s="49">
        <f t="shared" si="1"/>
        <v>741.14418</v>
      </c>
      <c r="E7" s="6" t="str">
        <f t="shared" si="2"/>
        <v>OK</v>
      </c>
    </row>
    <row r="8">
      <c r="A8" s="3" t="s">
        <v>1863</v>
      </c>
      <c r="B8" s="56">
        <v>68.1</v>
      </c>
      <c r="C8" s="43">
        <v>990.0</v>
      </c>
      <c r="D8" s="49">
        <f t="shared" si="1"/>
        <v>987.70878</v>
      </c>
      <c r="E8" s="6" t="str">
        <f t="shared" si="2"/>
        <v>OK</v>
      </c>
    </row>
    <row r="9">
      <c r="A9" s="3" t="s">
        <v>1864</v>
      </c>
      <c r="B9" s="56">
        <v>102.1</v>
      </c>
      <c r="C9" s="43">
        <v>1480.0</v>
      </c>
      <c r="D9" s="49">
        <f t="shared" si="1"/>
        <v>1480.83798</v>
      </c>
      <c r="E9" s="6" t="str">
        <f t="shared" si="2"/>
        <v>OK</v>
      </c>
    </row>
    <row r="10">
      <c r="A10" s="3" t="s">
        <v>1865</v>
      </c>
      <c r="B10" s="56">
        <v>153.2</v>
      </c>
      <c r="C10" s="43">
        <v>2220.0</v>
      </c>
      <c r="D10" s="49">
        <f t="shared" si="1"/>
        <v>2221.98216</v>
      </c>
      <c r="E10" s="6" t="str">
        <f t="shared" si="2"/>
        <v>OK</v>
      </c>
    </row>
    <row r="11">
      <c r="A11" s="3" t="s">
        <v>1866</v>
      </c>
      <c r="B11" s="56">
        <v>255.3</v>
      </c>
      <c r="C11" s="43">
        <v>3705.0</v>
      </c>
      <c r="D11" s="49">
        <f t="shared" si="1"/>
        <v>3702.82014</v>
      </c>
      <c r="E11" s="6" t="str">
        <f t="shared" si="2"/>
        <v>OK</v>
      </c>
    </row>
    <row r="12">
      <c r="A12" s="3" t="s">
        <v>1867</v>
      </c>
      <c r="B12" s="56">
        <v>425.5</v>
      </c>
      <c r="C12" s="43">
        <v>6170.0</v>
      </c>
      <c r="D12" s="49">
        <f t="shared" si="1"/>
        <v>6171.3669</v>
      </c>
      <c r="E12" s="6" t="str">
        <f t="shared" si="2"/>
        <v>OK</v>
      </c>
    </row>
    <row r="13" ht="15.75" customHeight="1">
      <c r="A13" s="57" t="s">
        <v>1868</v>
      </c>
    </row>
    <row r="15" ht="18.0" customHeight="1">
      <c r="A15" s="11" t="s">
        <v>1869</v>
      </c>
      <c r="B15" s="12"/>
      <c r="C15" s="12"/>
      <c r="D15" s="12"/>
      <c r="E15" s="12"/>
      <c r="F15" s="12"/>
      <c r="G15" s="12"/>
      <c r="H15" s="12"/>
    </row>
    <row r="16" ht="30.0" customHeight="1">
      <c r="A16" s="4" t="s">
        <v>1870</v>
      </c>
      <c r="B16" s="4" t="s">
        <v>1871</v>
      </c>
      <c r="C16" s="4" t="s">
        <v>1872</v>
      </c>
      <c r="D16" s="4" t="s">
        <v>1873</v>
      </c>
      <c r="E16" s="4" t="s">
        <v>1874</v>
      </c>
      <c r="F16" s="4" t="s">
        <v>1875</v>
      </c>
      <c r="G16" s="4" t="s">
        <v>1876</v>
      </c>
      <c r="H16" s="4" t="s">
        <v>1877</v>
      </c>
    </row>
    <row r="17">
      <c r="A17" s="3" t="s">
        <v>1878</v>
      </c>
      <c r="B17" s="8" t="s">
        <v>1879</v>
      </c>
      <c r="C17" s="39">
        <v>485.0</v>
      </c>
      <c r="D17" s="39">
        <v>250.0</v>
      </c>
      <c r="E17" s="6">
        <f t="shared" ref="E17:F17" si="3">ROUND(C17/6.8948,0)</f>
        <v>70</v>
      </c>
      <c r="F17" s="6">
        <f t="shared" si="3"/>
        <v>36</v>
      </c>
      <c r="G17" s="39">
        <v>22.0</v>
      </c>
      <c r="H17" s="8" t="s">
        <v>1880</v>
      </c>
    </row>
    <row r="18">
      <c r="A18" s="3" t="s">
        <v>1881</v>
      </c>
      <c r="B18" s="8" t="s">
        <v>1882</v>
      </c>
      <c r="C18" s="39">
        <v>485.0</v>
      </c>
      <c r="D18" s="39">
        <v>250.0</v>
      </c>
      <c r="E18" s="6">
        <f t="shared" ref="E18:F18" si="4">ROUND(C18/6.8948,0)</f>
        <v>70</v>
      </c>
      <c r="F18" s="6">
        <f t="shared" si="4"/>
        <v>36</v>
      </c>
      <c r="G18" s="39">
        <v>22.0</v>
      </c>
      <c r="H18" s="8" t="s">
        <v>1886</v>
      </c>
    </row>
    <row r="19">
      <c r="A19" s="3" t="s">
        <v>1887</v>
      </c>
      <c r="B19" s="8" t="s">
        <v>1888</v>
      </c>
      <c r="C19" s="39">
        <v>515.0</v>
      </c>
      <c r="D19" s="39">
        <v>205.0</v>
      </c>
      <c r="E19" s="6">
        <f t="shared" ref="E19:F19" si="5">ROUND(C19/6.8948,0)</f>
        <v>75</v>
      </c>
      <c r="F19" s="6">
        <f t="shared" si="5"/>
        <v>30</v>
      </c>
      <c r="G19" s="39">
        <v>30.0</v>
      </c>
      <c r="H19" s="8" t="s">
        <v>1889</v>
      </c>
    </row>
    <row r="20">
      <c r="A20" s="3" t="s">
        <v>1891</v>
      </c>
      <c r="B20" s="8" t="s">
        <v>1892</v>
      </c>
      <c r="C20" s="39">
        <v>485.0</v>
      </c>
      <c r="D20" s="39">
        <v>170.0</v>
      </c>
      <c r="E20" s="6">
        <f t="shared" ref="E20:F20" si="6">ROUND(C20/6.8948,0)</f>
        <v>70</v>
      </c>
      <c r="F20" s="6">
        <f t="shared" si="6"/>
        <v>25</v>
      </c>
      <c r="G20" s="39">
        <v>30.0</v>
      </c>
      <c r="H20" s="8" t="s">
        <v>1889</v>
      </c>
    </row>
    <row r="21" ht="15.75" customHeight="1">
      <c r="A21" s="3" t="s">
        <v>1893</v>
      </c>
      <c r="B21" s="8" t="s">
        <v>1894</v>
      </c>
      <c r="C21" s="39">
        <v>515.0</v>
      </c>
      <c r="D21" s="39">
        <v>205.0</v>
      </c>
      <c r="E21" s="6">
        <f t="shared" ref="E21:F21" si="7">ROUND(C21/6.8948,0)</f>
        <v>75</v>
      </c>
      <c r="F21" s="6">
        <f t="shared" si="7"/>
        <v>30</v>
      </c>
      <c r="G21" s="39">
        <v>30.0</v>
      </c>
      <c r="H21" s="8" t="s">
        <v>1889</v>
      </c>
    </row>
    <row r="22" ht="15.75" customHeight="1">
      <c r="A22" s="3" t="s">
        <v>1902</v>
      </c>
      <c r="B22" s="8" t="s">
        <v>1903</v>
      </c>
      <c r="C22" s="39">
        <v>485.0</v>
      </c>
      <c r="D22" s="39">
        <v>170.0</v>
      </c>
      <c r="E22" s="6">
        <f t="shared" ref="E22:F22" si="8">ROUND(C22/6.8948,0)</f>
        <v>70</v>
      </c>
      <c r="F22" s="6">
        <f t="shared" si="8"/>
        <v>25</v>
      </c>
      <c r="G22" s="39">
        <v>30.0</v>
      </c>
      <c r="H22" s="8" t="s">
        <v>1889</v>
      </c>
    </row>
    <row r="23" ht="15.75" customHeight="1">
      <c r="A23" s="3" t="s">
        <v>1911</v>
      </c>
      <c r="B23" s="8" t="s">
        <v>1913</v>
      </c>
      <c r="C23" s="39">
        <v>485.0</v>
      </c>
      <c r="D23" s="39">
        <v>275.0</v>
      </c>
      <c r="E23" s="6">
        <f t="shared" ref="E23:F23" si="9">ROUND(C23/6.8948,0)</f>
        <v>70</v>
      </c>
      <c r="F23" s="6">
        <f t="shared" si="9"/>
        <v>40</v>
      </c>
      <c r="G23" s="39">
        <v>20.0</v>
      </c>
      <c r="H23" s="8" t="s">
        <v>1914</v>
      </c>
    </row>
    <row r="24" ht="15.75" customHeight="1">
      <c r="A24" s="3" t="s">
        <v>1915</v>
      </c>
      <c r="B24" s="8" t="s">
        <v>1916</v>
      </c>
      <c r="C24" s="39">
        <v>515.0</v>
      </c>
      <c r="D24" s="39">
        <v>310.0</v>
      </c>
      <c r="E24" s="6">
        <f t="shared" ref="E24:F24" si="10">ROUND(C24/6.8948,0)</f>
        <v>75</v>
      </c>
      <c r="F24" s="6">
        <f t="shared" si="10"/>
        <v>45</v>
      </c>
      <c r="G24" s="39">
        <v>20.0</v>
      </c>
      <c r="H24" s="8" t="s">
        <v>1914</v>
      </c>
    </row>
    <row r="25" ht="15.75" customHeight="1">
      <c r="A25" s="3" t="s">
        <v>1929</v>
      </c>
      <c r="B25" s="8" t="s">
        <v>1931</v>
      </c>
      <c r="C25" s="39">
        <v>585.0</v>
      </c>
      <c r="D25" s="39">
        <v>415.0</v>
      </c>
      <c r="E25" s="6">
        <f t="shared" ref="E25:F25" si="11">ROUND(C25/6.8948,0)</f>
        <v>85</v>
      </c>
      <c r="F25" s="6">
        <f t="shared" si="11"/>
        <v>60</v>
      </c>
      <c r="G25" s="39">
        <v>20.0</v>
      </c>
      <c r="H25" s="8" t="s">
        <v>178</v>
      </c>
    </row>
    <row r="26" ht="15.75" customHeight="1">
      <c r="A26" s="3" t="s">
        <v>1942</v>
      </c>
      <c r="B26" s="8" t="s">
        <v>1944</v>
      </c>
      <c r="C26" s="39">
        <v>620.0</v>
      </c>
      <c r="D26" s="39">
        <v>450.0</v>
      </c>
      <c r="E26" s="6">
        <f t="shared" ref="E26:F26" si="12">ROUND(C26/6.8948,0)</f>
        <v>90</v>
      </c>
      <c r="F26" s="6">
        <f t="shared" si="12"/>
        <v>65</v>
      </c>
      <c r="G26" s="39">
        <v>25.0</v>
      </c>
      <c r="H26" s="8" t="s">
        <v>178</v>
      </c>
    </row>
    <row r="27" ht="27.75" customHeight="1">
      <c r="A27" s="57" t="s">
        <v>1965</v>
      </c>
    </row>
    <row r="28" ht="15.75" customHeight="1"/>
    <row r="29" ht="18.0" customHeight="1">
      <c r="A29" s="11" t="s">
        <v>1969</v>
      </c>
      <c r="B29" s="12"/>
      <c r="C29" s="12"/>
      <c r="D29" s="12"/>
      <c r="E29" s="12"/>
      <c r="F29" s="12"/>
      <c r="G29" s="12"/>
      <c r="H29" s="12"/>
    </row>
    <row r="30" ht="30.0" customHeight="1">
      <c r="A30" s="4" t="s">
        <v>1974</v>
      </c>
      <c r="B30" s="4" t="s">
        <v>1977</v>
      </c>
      <c r="C30" s="4" t="s">
        <v>1979</v>
      </c>
      <c r="D30" s="4" t="s">
        <v>1981</v>
      </c>
      <c r="E30" s="4" t="s">
        <v>1982</v>
      </c>
      <c r="F30" s="4" t="s">
        <v>1983</v>
      </c>
      <c r="G30" s="4" t="s">
        <v>1985</v>
      </c>
      <c r="H30" s="4" t="s">
        <v>1987</v>
      </c>
    </row>
    <row r="31" ht="15.75" customHeight="1">
      <c r="A31" s="3" t="s">
        <v>1989</v>
      </c>
      <c r="B31" s="8" t="s">
        <v>1991</v>
      </c>
      <c r="C31" s="56">
        <v>152.4</v>
      </c>
      <c r="D31" s="56">
        <v>120.7</v>
      </c>
      <c r="E31" s="6" t="s">
        <v>1993</v>
      </c>
      <c r="F31" s="6" t="s">
        <v>1994</v>
      </c>
      <c r="G31" s="8"/>
      <c r="H31" s="8"/>
    </row>
    <row r="32" ht="15.75" customHeight="1">
      <c r="A32" s="3" t="s">
        <v>1989</v>
      </c>
      <c r="B32" s="8" t="s">
        <v>1999</v>
      </c>
      <c r="C32" s="56">
        <v>165.0</v>
      </c>
      <c r="D32" s="56">
        <v>125.0</v>
      </c>
      <c r="E32" s="6" t="s">
        <v>2001</v>
      </c>
      <c r="F32" s="6" t="s">
        <v>2002</v>
      </c>
      <c r="G32" s="21">
        <f>ABS(D32-D31)</f>
        <v>4.3</v>
      </c>
      <c r="H32" s="8" t="str">
        <f>IF(G32&gt;=3,"NO - bolt circles differ by "&amp;TEXT(G32,"0.0")&amp;" mm","Close - check hole clearance and bolt standard")</f>
        <v>NO - bolt circles differ by 4.3 mm</v>
      </c>
    </row>
    <row r="33" ht="15.75" customHeight="1">
      <c r="A33" s="3" t="s">
        <v>2033</v>
      </c>
      <c r="B33" s="8" t="s">
        <v>1991</v>
      </c>
      <c r="C33" s="56">
        <v>228.6</v>
      </c>
      <c r="D33" s="56">
        <v>190.5</v>
      </c>
      <c r="E33" s="6" t="s">
        <v>2037</v>
      </c>
      <c r="F33" s="6" t="s">
        <v>1994</v>
      </c>
      <c r="G33" s="8"/>
      <c r="H33" s="8"/>
    </row>
    <row r="34" ht="15.75" customHeight="1">
      <c r="A34" s="3" t="s">
        <v>2033</v>
      </c>
      <c r="B34" s="8" t="s">
        <v>1999</v>
      </c>
      <c r="C34" s="56">
        <v>220.0</v>
      </c>
      <c r="D34" s="56">
        <v>180.0</v>
      </c>
      <c r="E34" s="6" t="s">
        <v>2041</v>
      </c>
      <c r="F34" s="6" t="s">
        <v>2002</v>
      </c>
      <c r="G34" s="21">
        <f>ABS(D34-D33)</f>
        <v>10.5</v>
      </c>
      <c r="H34" s="8" t="str">
        <f>IF(G34&gt;=3,"NO - bolt circles differ by "&amp;TEXT(G34,"0.0")&amp;" mm","Close - check hole clearance and bolt standard")</f>
        <v>NO - bolt circles differ by 10.5 mm</v>
      </c>
    </row>
    <row r="35" ht="15.75" customHeight="1">
      <c r="A35" s="57" t="s">
        <v>2065</v>
      </c>
    </row>
    <row r="36" ht="15.75" customHeight="1"/>
    <row r="37" ht="18.0" customHeight="1">
      <c r="A37" s="11" t="s">
        <v>2069</v>
      </c>
      <c r="B37" s="12"/>
      <c r="C37" s="12"/>
      <c r="D37" s="12"/>
      <c r="E37" s="12"/>
      <c r="F37" s="12"/>
      <c r="G37" s="12"/>
      <c r="H37" s="12"/>
    </row>
    <row r="38" ht="19.5" customHeight="1">
      <c r="A38" s="4" t="s">
        <v>1977</v>
      </c>
      <c r="B38" s="4" t="s">
        <v>2075</v>
      </c>
      <c r="C38" s="32" t="s">
        <v>2077</v>
      </c>
      <c r="D38" s="7"/>
      <c r="E38" s="7"/>
      <c r="F38" s="7"/>
      <c r="G38" s="7"/>
      <c r="H38" s="9"/>
    </row>
    <row r="39" ht="45.0" customHeight="1">
      <c r="A39" s="3" t="s">
        <v>2084</v>
      </c>
      <c r="B39" s="8" t="s">
        <v>2085</v>
      </c>
      <c r="C39" s="15" t="s">
        <v>2086</v>
      </c>
      <c r="D39" s="7"/>
      <c r="E39" s="7"/>
      <c r="F39" s="7"/>
      <c r="G39" s="7"/>
      <c r="H39" s="9"/>
    </row>
    <row r="40" ht="45.0" customHeight="1">
      <c r="A40" s="3" t="s">
        <v>2092</v>
      </c>
      <c r="B40" s="8" t="s">
        <v>2094</v>
      </c>
      <c r="C40" s="15" t="s">
        <v>2096</v>
      </c>
      <c r="D40" s="7"/>
      <c r="E40" s="7"/>
      <c r="F40" s="7"/>
      <c r="G40" s="7"/>
      <c r="H40" s="9"/>
    </row>
    <row r="41" ht="45.0" customHeight="1">
      <c r="A41" s="3" t="s">
        <v>2102</v>
      </c>
      <c r="B41" s="8" t="s">
        <v>2103</v>
      </c>
      <c r="C41" s="15" t="s">
        <v>2105</v>
      </c>
      <c r="D41" s="7"/>
      <c r="E41" s="7"/>
      <c r="F41" s="7"/>
      <c r="G41" s="7"/>
      <c r="H41" s="9"/>
    </row>
    <row r="42" ht="45.0" customHeight="1">
      <c r="A42" s="3" t="s">
        <v>2113</v>
      </c>
      <c r="B42" s="8" t="s">
        <v>2115</v>
      </c>
      <c r="C42" s="15" t="s">
        <v>2116</v>
      </c>
      <c r="D42" s="7"/>
      <c r="E42" s="7"/>
      <c r="F42" s="7"/>
      <c r="G42" s="7"/>
      <c r="H42" s="9"/>
    </row>
    <row r="43" ht="45.0" customHeight="1">
      <c r="A43" s="3" t="s">
        <v>2122</v>
      </c>
      <c r="B43" s="8" t="s">
        <v>2123</v>
      </c>
      <c r="C43" s="15" t="s">
        <v>2125</v>
      </c>
      <c r="D43" s="7"/>
      <c r="E43" s="7"/>
      <c r="F43" s="7"/>
      <c r="G43" s="7"/>
      <c r="H43" s="9"/>
    </row>
    <row r="44" ht="45.0" customHeight="1">
      <c r="A44" s="3" t="s">
        <v>2129</v>
      </c>
      <c r="B44" s="8" t="s">
        <v>2130</v>
      </c>
      <c r="C44" s="15" t="s">
        <v>2131</v>
      </c>
      <c r="D44" s="7"/>
      <c r="E44" s="7"/>
      <c r="F44" s="7"/>
      <c r="G44" s="7"/>
      <c r="H44" s="9"/>
    </row>
    <row r="45" ht="45.0" customHeight="1">
      <c r="A45" s="3" t="s">
        <v>2132</v>
      </c>
      <c r="B45" s="8" t="s">
        <v>2133</v>
      </c>
      <c r="C45" s="15" t="s">
        <v>2134</v>
      </c>
      <c r="D45" s="7"/>
      <c r="E45" s="7"/>
      <c r="F45" s="7"/>
      <c r="G45" s="7"/>
      <c r="H45" s="9"/>
    </row>
    <row r="46" ht="45.0" customHeight="1">
      <c r="A46" s="3" t="s">
        <v>2135</v>
      </c>
      <c r="B46" s="8" t="s">
        <v>2136</v>
      </c>
      <c r="C46" s="15" t="s">
        <v>2137</v>
      </c>
      <c r="D46" s="7"/>
      <c r="E46" s="7"/>
      <c r="F46" s="7"/>
      <c r="G46" s="7"/>
      <c r="H46" s="9"/>
    </row>
    <row r="47" ht="15.75" customHeight="1"/>
    <row r="48" ht="18.0" customHeight="1">
      <c r="A48" s="11" t="s">
        <v>2138</v>
      </c>
      <c r="B48" s="12"/>
      <c r="C48" s="12"/>
      <c r="D48" s="12"/>
      <c r="E48" s="12"/>
      <c r="F48" s="12"/>
      <c r="G48" s="12"/>
      <c r="H48" s="12"/>
    </row>
    <row r="49" ht="19.5" customHeight="1">
      <c r="A49" s="4" t="s">
        <v>9</v>
      </c>
      <c r="B49" s="4" t="s">
        <v>2139</v>
      </c>
      <c r="C49" s="32" t="s">
        <v>2140</v>
      </c>
      <c r="D49" s="7"/>
      <c r="E49" s="7"/>
      <c r="F49" s="9"/>
      <c r="G49" s="32" t="s">
        <v>2141</v>
      </c>
      <c r="H49" s="9"/>
    </row>
    <row r="50" ht="43.5" customHeight="1">
      <c r="A50" s="6">
        <v>1.0</v>
      </c>
      <c r="B50" s="8" t="s">
        <v>2142</v>
      </c>
      <c r="C50" s="15" t="s">
        <v>2143</v>
      </c>
      <c r="D50" s="7"/>
      <c r="E50" s="7"/>
      <c r="F50" s="9"/>
      <c r="G50" s="15" t="s">
        <v>2144</v>
      </c>
      <c r="H50" s="9"/>
    </row>
    <row r="51" ht="43.5" customHeight="1">
      <c r="A51" s="6">
        <v>2.0</v>
      </c>
      <c r="B51" s="8" t="s">
        <v>2145</v>
      </c>
      <c r="C51" s="15" t="s">
        <v>2146</v>
      </c>
      <c r="D51" s="7"/>
      <c r="E51" s="7"/>
      <c r="F51" s="9"/>
      <c r="G51" s="15" t="s">
        <v>2147</v>
      </c>
      <c r="H51" s="9"/>
    </row>
    <row r="52" ht="43.5" customHeight="1">
      <c r="A52" s="6">
        <v>3.0</v>
      </c>
      <c r="B52" s="8" t="s">
        <v>2148</v>
      </c>
      <c r="C52" s="15" t="s">
        <v>2149</v>
      </c>
      <c r="D52" s="7"/>
      <c r="E52" s="7"/>
      <c r="F52" s="9"/>
      <c r="G52" s="15" t="s">
        <v>2150</v>
      </c>
      <c r="H52" s="9"/>
    </row>
    <row r="53" ht="43.5" customHeight="1">
      <c r="A53" s="6">
        <v>4.0</v>
      </c>
      <c r="B53" s="8" t="s">
        <v>2151</v>
      </c>
      <c r="C53" s="15" t="s">
        <v>2152</v>
      </c>
      <c r="D53" s="7"/>
      <c r="E53" s="7"/>
      <c r="F53" s="9"/>
      <c r="G53" s="15" t="s">
        <v>2153</v>
      </c>
      <c r="H53" s="9"/>
    </row>
    <row r="54" ht="15.75" customHeight="1"/>
    <row r="55" ht="18.0" customHeight="1">
      <c r="A55" s="11" t="s">
        <v>2154</v>
      </c>
      <c r="B55" s="12"/>
      <c r="C55" s="12"/>
      <c r="D55" s="12"/>
      <c r="E55" s="12"/>
      <c r="F55" s="12"/>
      <c r="G55" s="12"/>
      <c r="H55" s="12"/>
    </row>
    <row r="56" ht="15.75" customHeight="1">
      <c r="A56" s="28" t="s">
        <v>2155</v>
      </c>
    </row>
    <row r="57" ht="15.75" customHeight="1">
      <c r="A57" s="28" t="s">
        <v>2156</v>
      </c>
    </row>
    <row r="58" ht="15.75" customHeight="1">
      <c r="A58" s="28" t="s">
        <v>2157</v>
      </c>
    </row>
    <row r="59" ht="15.75" customHeight="1">
      <c r="A59" s="28" t="s">
        <v>2158</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A13:H13"/>
    <mergeCell ref="A27:H27"/>
    <mergeCell ref="A35:H35"/>
    <mergeCell ref="C38:H38"/>
    <mergeCell ref="C39:H39"/>
    <mergeCell ref="C40:H40"/>
    <mergeCell ref="C41:H41"/>
    <mergeCell ref="C42:H42"/>
    <mergeCell ref="C43:H43"/>
    <mergeCell ref="C44:H44"/>
    <mergeCell ref="C45:H45"/>
    <mergeCell ref="C46:H46"/>
    <mergeCell ref="C49:F49"/>
    <mergeCell ref="G49:H49"/>
    <mergeCell ref="C53:F53"/>
    <mergeCell ref="A56:H56"/>
    <mergeCell ref="A57:H57"/>
    <mergeCell ref="A58:H58"/>
    <mergeCell ref="A59:H59"/>
    <mergeCell ref="C50:F50"/>
    <mergeCell ref="G50:H50"/>
    <mergeCell ref="C51:F51"/>
    <mergeCell ref="G51:H51"/>
    <mergeCell ref="C52:F52"/>
    <mergeCell ref="G52:H52"/>
    <mergeCell ref="G53:H53"/>
  </mergeCells>
  <conditionalFormatting sqref="E6:E12">
    <cfRule type="expression" dxfId="0" priority="1">
      <formula>E6="OK"</formula>
    </cfRule>
  </conditionalFormatting>
  <conditionalFormatting sqref="E6:E12">
    <cfRule type="expression" dxfId="2" priority="2">
      <formula>AND(E6&lt;&gt;"",NOT(E6="OK"))</formula>
    </cfRule>
  </conditionalFormatting>
  <conditionalFormatting sqref="D17:D26">
    <cfRule type="expression" dxfId="2" priority="3">
      <formula>D17&gt;=C17</formula>
    </cfRule>
  </conditionalFormatting>
  <printOptions/>
  <pageMargins bottom="1.0" footer="0.0" header="0.0" left="0.75" right="0.75" top="1.0"/>
  <pageSetup fitToHeight="0" paperSize="9"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fitToPage="1"/>
  </sheetPr>
  <sheetViews>
    <sheetView workbookViewId="0">
      <pane xSplit="2.0" ySplit="7.0" topLeftCell="C8" activePane="bottomRight" state="frozen"/>
      <selection activeCell="C1" sqref="C1" pane="topRight"/>
      <selection activeCell="A8" sqref="A8" pane="bottomLeft"/>
      <selection activeCell="C8" sqref="C8" pane="bottomRight"/>
    </sheetView>
  </sheetViews>
  <sheetFormatPr customHeight="1" defaultColWidth="14.43" defaultRowHeight="15.0"/>
  <cols>
    <col customWidth="1" min="1" max="1" width="7.0"/>
    <col customWidth="1" min="2" max="2" width="52.0"/>
    <col customWidth="1" min="3" max="3" width="36.0"/>
    <col customWidth="1" min="4" max="4" width="34.0"/>
    <col customWidth="1" min="5" max="6" width="44.0"/>
    <col customWidth="1" min="7" max="7" width="11.0"/>
    <col customWidth="1" min="8" max="8" width="10.0"/>
    <col customWidth="1" min="9" max="26" width="8.71"/>
  </cols>
  <sheetData>
    <row r="1" ht="21.75" customHeight="1">
      <c r="A1" s="1" t="s">
        <v>1883</v>
      </c>
    </row>
    <row r="2">
      <c r="A2" s="2" t="s">
        <v>1884</v>
      </c>
    </row>
    <row r="4">
      <c r="B4" s="3" t="s">
        <v>1885</v>
      </c>
      <c r="C4" s="3" t="str">
        <f>COUNTIF(G8:G47,"MISSING")&amp;" of 40"</f>
        <v>40 of 40</v>
      </c>
    </row>
    <row r="5">
      <c r="B5" s="3" t="s">
        <v>1890</v>
      </c>
      <c r="C5" s="3">
        <f>COUNTIFS(G8:G47,"MISSING",H8:H47,"Yes")</f>
        <v>28</v>
      </c>
    </row>
    <row r="6" ht="30.0" customHeight="1">
      <c r="A6" s="4" t="s">
        <v>1640</v>
      </c>
      <c r="B6" s="4" t="s">
        <v>1895</v>
      </c>
      <c r="C6" s="4" t="s">
        <v>1896</v>
      </c>
      <c r="D6" s="4" t="s">
        <v>1897</v>
      </c>
      <c r="E6" s="4" t="s">
        <v>1898</v>
      </c>
      <c r="F6" s="4" t="s">
        <v>1899</v>
      </c>
      <c r="G6" s="4" t="s">
        <v>796</v>
      </c>
      <c r="H6" s="4" t="s">
        <v>1900</v>
      </c>
    </row>
    <row r="7" ht="27.75" customHeight="1">
      <c r="A7" s="58" t="s">
        <v>1901</v>
      </c>
      <c r="B7" s="58" t="s">
        <v>1904</v>
      </c>
      <c r="C7" s="58" t="s">
        <v>1905</v>
      </c>
      <c r="D7" s="58" t="s">
        <v>1906</v>
      </c>
      <c r="E7" s="58" t="s">
        <v>1907</v>
      </c>
      <c r="F7" s="58" t="s">
        <v>1907</v>
      </c>
      <c r="G7" s="58" t="s">
        <v>1908</v>
      </c>
      <c r="H7" s="58" t="s">
        <v>178</v>
      </c>
    </row>
    <row r="8" ht="27.75" customHeight="1">
      <c r="A8" s="8" t="s">
        <v>1909</v>
      </c>
      <c r="B8" s="3" t="s">
        <v>1910</v>
      </c>
      <c r="C8" s="8" t="s">
        <v>1912</v>
      </c>
      <c r="D8" s="8" t="s">
        <v>1906</v>
      </c>
      <c r="E8" s="8" t="s">
        <v>1907</v>
      </c>
      <c r="F8" s="59"/>
      <c r="G8" s="6" t="str">
        <f t="shared" ref="G8:G47" si="1">IF(F8="","MISSING","Provided")</f>
        <v>MISSING</v>
      </c>
      <c r="H8" s="6" t="s">
        <v>972</v>
      </c>
    </row>
    <row r="9" ht="27.75" customHeight="1">
      <c r="A9" s="8" t="s">
        <v>1917</v>
      </c>
      <c r="B9" s="3" t="s">
        <v>1918</v>
      </c>
      <c r="C9" s="8" t="s">
        <v>1919</v>
      </c>
      <c r="D9" s="8" t="s">
        <v>1920</v>
      </c>
      <c r="E9" s="8" t="s">
        <v>1921</v>
      </c>
      <c r="F9" s="59"/>
      <c r="G9" s="6" t="str">
        <f t="shared" si="1"/>
        <v>MISSING</v>
      </c>
      <c r="H9" s="6" t="s">
        <v>972</v>
      </c>
    </row>
    <row r="10" ht="15.0" customHeight="1">
      <c r="A10" s="8" t="s">
        <v>1922</v>
      </c>
      <c r="B10" s="3" t="s">
        <v>1923</v>
      </c>
      <c r="C10" s="8" t="s">
        <v>1924</v>
      </c>
      <c r="D10" s="8" t="s">
        <v>1920</v>
      </c>
      <c r="E10" s="8" t="s">
        <v>1925</v>
      </c>
      <c r="F10" s="59"/>
      <c r="G10" s="6" t="str">
        <f t="shared" si="1"/>
        <v>MISSING</v>
      </c>
      <c r="H10" s="6" t="s">
        <v>972</v>
      </c>
    </row>
    <row r="11" ht="15.0" customHeight="1">
      <c r="A11" s="8" t="s">
        <v>1926</v>
      </c>
      <c r="B11" s="3" t="s">
        <v>1927</v>
      </c>
      <c r="C11" s="8" t="s">
        <v>1928</v>
      </c>
      <c r="D11" s="8" t="s">
        <v>1920</v>
      </c>
      <c r="E11" s="8" t="s">
        <v>1925</v>
      </c>
      <c r="F11" s="59"/>
      <c r="G11" s="6" t="str">
        <f t="shared" si="1"/>
        <v>MISSING</v>
      </c>
      <c r="H11" s="6" t="s">
        <v>972</v>
      </c>
    </row>
    <row r="12" ht="15.0" customHeight="1">
      <c r="A12" s="8" t="s">
        <v>1930</v>
      </c>
      <c r="B12" s="3" t="s">
        <v>1932</v>
      </c>
      <c r="C12" s="8" t="s">
        <v>1933</v>
      </c>
      <c r="D12" s="8" t="s">
        <v>1920</v>
      </c>
      <c r="E12" s="8" t="s">
        <v>1925</v>
      </c>
      <c r="F12" s="59"/>
      <c r="G12" s="6" t="str">
        <f t="shared" si="1"/>
        <v>MISSING</v>
      </c>
      <c r="H12" s="6" t="s">
        <v>972</v>
      </c>
    </row>
    <row r="13" ht="15.0" customHeight="1">
      <c r="A13" s="8" t="s">
        <v>1934</v>
      </c>
      <c r="B13" s="3" t="s">
        <v>1935</v>
      </c>
      <c r="C13" s="8" t="s">
        <v>1936</v>
      </c>
      <c r="D13" s="8" t="s">
        <v>1920</v>
      </c>
      <c r="E13" s="8" t="s">
        <v>1937</v>
      </c>
      <c r="F13" s="59"/>
      <c r="G13" s="6" t="str">
        <f t="shared" si="1"/>
        <v>MISSING</v>
      </c>
      <c r="H13" s="6" t="s">
        <v>972</v>
      </c>
    </row>
    <row r="14" ht="27.75" customHeight="1">
      <c r="A14" s="8" t="s">
        <v>1938</v>
      </c>
      <c r="B14" s="3" t="s">
        <v>1939</v>
      </c>
      <c r="C14" s="8" t="s">
        <v>1940</v>
      </c>
      <c r="D14" s="8" t="s">
        <v>1920</v>
      </c>
      <c r="E14" s="8" t="s">
        <v>1941</v>
      </c>
      <c r="F14" s="59"/>
      <c r="G14" s="6" t="str">
        <f t="shared" si="1"/>
        <v>MISSING</v>
      </c>
      <c r="H14" s="6" t="s">
        <v>972</v>
      </c>
    </row>
    <row r="15" ht="27.75" customHeight="1">
      <c r="A15" s="8" t="s">
        <v>1943</v>
      </c>
      <c r="B15" s="3" t="s">
        <v>1945</v>
      </c>
      <c r="C15" s="8" t="s">
        <v>1946</v>
      </c>
      <c r="D15" s="8" t="s">
        <v>1947</v>
      </c>
      <c r="E15" s="8" t="s">
        <v>1948</v>
      </c>
      <c r="F15" s="59"/>
      <c r="G15" s="6" t="str">
        <f t="shared" si="1"/>
        <v>MISSING</v>
      </c>
      <c r="H15" s="6" t="s">
        <v>972</v>
      </c>
    </row>
    <row r="16" ht="15.0" customHeight="1">
      <c r="A16" s="8" t="s">
        <v>1949</v>
      </c>
      <c r="B16" s="3" t="s">
        <v>1950</v>
      </c>
      <c r="C16" s="8" t="s">
        <v>1951</v>
      </c>
      <c r="D16" s="8" t="s">
        <v>1952</v>
      </c>
      <c r="E16" s="8" t="s">
        <v>1953</v>
      </c>
      <c r="F16" s="59"/>
      <c r="G16" s="6" t="str">
        <f t="shared" si="1"/>
        <v>MISSING</v>
      </c>
      <c r="H16" s="6" t="s">
        <v>972</v>
      </c>
    </row>
    <row r="17" ht="27.75" customHeight="1">
      <c r="A17" s="8" t="s">
        <v>1954</v>
      </c>
      <c r="B17" s="3" t="s">
        <v>1955</v>
      </c>
      <c r="C17" s="8" t="s">
        <v>1956</v>
      </c>
      <c r="D17" s="8" t="s">
        <v>178</v>
      </c>
      <c r="E17" s="8" t="s">
        <v>1957</v>
      </c>
      <c r="F17" s="59"/>
      <c r="G17" s="6" t="str">
        <f t="shared" si="1"/>
        <v>MISSING</v>
      </c>
      <c r="H17" s="6" t="s">
        <v>98</v>
      </c>
    </row>
    <row r="18" ht="15.0" customHeight="1">
      <c r="A18" s="8" t="s">
        <v>1958</v>
      </c>
      <c r="B18" s="3" t="s">
        <v>1959</v>
      </c>
      <c r="C18" s="8" t="s">
        <v>1956</v>
      </c>
      <c r="D18" s="8" t="s">
        <v>178</v>
      </c>
      <c r="E18" s="8" t="s">
        <v>1960</v>
      </c>
      <c r="F18" s="59"/>
      <c r="G18" s="6" t="str">
        <f t="shared" si="1"/>
        <v>MISSING</v>
      </c>
      <c r="H18" s="6" t="s">
        <v>98</v>
      </c>
    </row>
    <row r="19" ht="27.75" customHeight="1">
      <c r="A19" s="8" t="s">
        <v>1961</v>
      </c>
      <c r="B19" s="3" t="s">
        <v>1962</v>
      </c>
      <c r="C19" s="8" t="s">
        <v>1963</v>
      </c>
      <c r="D19" s="8" t="s">
        <v>1964</v>
      </c>
      <c r="E19" s="8" t="s">
        <v>1966</v>
      </c>
      <c r="F19" s="59"/>
      <c r="G19" s="6" t="str">
        <f t="shared" si="1"/>
        <v>MISSING</v>
      </c>
      <c r="H19" s="6" t="s">
        <v>972</v>
      </c>
    </row>
    <row r="20" ht="27.75" customHeight="1">
      <c r="A20" s="8" t="s">
        <v>1967</v>
      </c>
      <c r="B20" s="3" t="s">
        <v>1968</v>
      </c>
      <c r="C20" s="8" t="s">
        <v>1970</v>
      </c>
      <c r="D20" s="8" t="s">
        <v>1971</v>
      </c>
      <c r="E20" s="8" t="s">
        <v>1972</v>
      </c>
      <c r="F20" s="59"/>
      <c r="G20" s="6" t="str">
        <f t="shared" si="1"/>
        <v>MISSING</v>
      </c>
      <c r="H20" s="6" t="s">
        <v>972</v>
      </c>
    </row>
    <row r="21" ht="27.75" customHeight="1">
      <c r="A21" s="8" t="s">
        <v>1973</v>
      </c>
      <c r="B21" s="3" t="s">
        <v>1975</v>
      </c>
      <c r="C21" s="8" t="s">
        <v>1976</v>
      </c>
      <c r="D21" s="8" t="s">
        <v>1978</v>
      </c>
      <c r="E21" s="8" t="s">
        <v>1980</v>
      </c>
      <c r="F21" s="59"/>
      <c r="G21" s="6" t="str">
        <f t="shared" si="1"/>
        <v>MISSING</v>
      </c>
      <c r="H21" s="6" t="s">
        <v>972</v>
      </c>
    </row>
    <row r="22" ht="27.75" customHeight="1">
      <c r="A22" s="8" t="s">
        <v>1984</v>
      </c>
      <c r="B22" s="3" t="s">
        <v>1986</v>
      </c>
      <c r="C22" s="8" t="s">
        <v>1988</v>
      </c>
      <c r="D22" s="8" t="s">
        <v>1990</v>
      </c>
      <c r="E22" s="8" t="s">
        <v>1992</v>
      </c>
      <c r="F22" s="59"/>
      <c r="G22" s="6" t="str">
        <f t="shared" si="1"/>
        <v>MISSING</v>
      </c>
      <c r="H22" s="6" t="s">
        <v>972</v>
      </c>
    </row>
    <row r="23" ht="15.0" customHeight="1">
      <c r="A23" s="8" t="s">
        <v>1995</v>
      </c>
      <c r="B23" s="3" t="s">
        <v>1996</v>
      </c>
      <c r="C23" s="8" t="s">
        <v>1997</v>
      </c>
      <c r="D23" s="8" t="s">
        <v>1998</v>
      </c>
      <c r="E23" s="8" t="s">
        <v>2000</v>
      </c>
      <c r="F23" s="59"/>
      <c r="G23" s="6" t="str">
        <f t="shared" si="1"/>
        <v>MISSING</v>
      </c>
      <c r="H23" s="6" t="s">
        <v>972</v>
      </c>
    </row>
    <row r="24" ht="27.75" customHeight="1">
      <c r="A24" s="8" t="s">
        <v>2003</v>
      </c>
      <c r="B24" s="3" t="s">
        <v>2004</v>
      </c>
      <c r="C24" s="8" t="s">
        <v>2005</v>
      </c>
      <c r="D24" s="8" t="s">
        <v>2006</v>
      </c>
      <c r="E24" s="8" t="s">
        <v>2007</v>
      </c>
      <c r="F24" s="59"/>
      <c r="G24" s="6" t="str">
        <f t="shared" si="1"/>
        <v>MISSING</v>
      </c>
      <c r="H24" s="6" t="s">
        <v>972</v>
      </c>
    </row>
    <row r="25" ht="15.0" customHeight="1">
      <c r="A25" s="8" t="s">
        <v>2008</v>
      </c>
      <c r="B25" s="3" t="s">
        <v>2009</v>
      </c>
      <c r="C25" s="8" t="s">
        <v>2010</v>
      </c>
      <c r="D25" s="8" t="s">
        <v>2011</v>
      </c>
      <c r="E25" s="8" t="s">
        <v>98</v>
      </c>
      <c r="F25" s="59"/>
      <c r="G25" s="6" t="str">
        <f t="shared" si="1"/>
        <v>MISSING</v>
      </c>
      <c r="H25" s="6" t="s">
        <v>972</v>
      </c>
    </row>
    <row r="26" ht="15.0" customHeight="1">
      <c r="A26" s="8" t="s">
        <v>2012</v>
      </c>
      <c r="B26" s="3" t="s">
        <v>2013</v>
      </c>
      <c r="C26" s="8" t="s">
        <v>2014</v>
      </c>
      <c r="D26" s="8" t="s">
        <v>2006</v>
      </c>
      <c r="E26" s="8" t="s">
        <v>2015</v>
      </c>
      <c r="F26" s="59"/>
      <c r="G26" s="6" t="str">
        <f t="shared" si="1"/>
        <v>MISSING</v>
      </c>
      <c r="H26" s="6" t="s">
        <v>972</v>
      </c>
    </row>
    <row r="27" ht="27.75" customHeight="1">
      <c r="A27" s="8" t="s">
        <v>2016</v>
      </c>
      <c r="B27" s="3" t="s">
        <v>2017</v>
      </c>
      <c r="C27" s="8" t="s">
        <v>2018</v>
      </c>
      <c r="D27" s="8" t="s">
        <v>2006</v>
      </c>
      <c r="E27" s="8" t="s">
        <v>2019</v>
      </c>
      <c r="F27" s="59"/>
      <c r="G27" s="6" t="str">
        <f t="shared" si="1"/>
        <v>MISSING</v>
      </c>
      <c r="H27" s="6" t="s">
        <v>972</v>
      </c>
    </row>
    <row r="28" ht="15.0" customHeight="1">
      <c r="A28" s="8" t="s">
        <v>2020</v>
      </c>
      <c r="B28" s="3" t="s">
        <v>2021</v>
      </c>
      <c r="C28" s="8" t="s">
        <v>2022</v>
      </c>
      <c r="D28" s="8" t="s">
        <v>2023</v>
      </c>
      <c r="E28" s="8" t="s">
        <v>98</v>
      </c>
      <c r="F28" s="59"/>
      <c r="G28" s="6" t="str">
        <f t="shared" si="1"/>
        <v>MISSING</v>
      </c>
      <c r="H28" s="6" t="s">
        <v>972</v>
      </c>
    </row>
    <row r="29" ht="15.0" customHeight="1">
      <c r="A29" s="8" t="s">
        <v>2024</v>
      </c>
      <c r="B29" s="3" t="s">
        <v>2025</v>
      </c>
      <c r="C29" s="8" t="s">
        <v>2022</v>
      </c>
      <c r="D29" s="8" t="s">
        <v>2026</v>
      </c>
      <c r="E29" s="8" t="s">
        <v>2027</v>
      </c>
      <c r="F29" s="59"/>
      <c r="G29" s="6" t="str">
        <f t="shared" si="1"/>
        <v>MISSING</v>
      </c>
      <c r="H29" s="6" t="s">
        <v>972</v>
      </c>
    </row>
    <row r="30" ht="27.75" customHeight="1">
      <c r="A30" s="8" t="s">
        <v>2028</v>
      </c>
      <c r="B30" s="3" t="s">
        <v>2029</v>
      </c>
      <c r="C30" s="8" t="s">
        <v>2030</v>
      </c>
      <c r="D30" s="8" t="s">
        <v>2031</v>
      </c>
      <c r="E30" s="8" t="s">
        <v>2032</v>
      </c>
      <c r="F30" s="59"/>
      <c r="G30" s="6" t="str">
        <f t="shared" si="1"/>
        <v>MISSING</v>
      </c>
      <c r="H30" s="6" t="s">
        <v>972</v>
      </c>
    </row>
    <row r="31" ht="40.5" customHeight="1">
      <c r="A31" s="8" t="s">
        <v>2034</v>
      </c>
      <c r="B31" s="3" t="s">
        <v>2035</v>
      </c>
      <c r="C31" s="8" t="s">
        <v>2036</v>
      </c>
      <c r="D31" s="8" t="s">
        <v>178</v>
      </c>
      <c r="E31" s="8" t="s">
        <v>2038</v>
      </c>
      <c r="F31" s="59"/>
      <c r="G31" s="6" t="str">
        <f t="shared" si="1"/>
        <v>MISSING</v>
      </c>
      <c r="H31" s="6" t="s">
        <v>98</v>
      </c>
    </row>
    <row r="32" ht="27.75" customHeight="1">
      <c r="A32" s="8" t="s">
        <v>2039</v>
      </c>
      <c r="B32" s="3" t="s">
        <v>2040</v>
      </c>
      <c r="C32" s="8" t="s">
        <v>2042</v>
      </c>
      <c r="D32" s="8" t="s">
        <v>2043</v>
      </c>
      <c r="E32" s="8" t="s">
        <v>2044</v>
      </c>
      <c r="F32" s="59"/>
      <c r="G32" s="6" t="str">
        <f t="shared" si="1"/>
        <v>MISSING</v>
      </c>
      <c r="H32" s="6" t="s">
        <v>972</v>
      </c>
    </row>
    <row r="33" ht="27.75" customHeight="1">
      <c r="A33" s="8" t="s">
        <v>2045</v>
      </c>
      <c r="B33" s="3" t="s">
        <v>2046</v>
      </c>
      <c r="C33" s="8" t="s">
        <v>2047</v>
      </c>
      <c r="D33" s="8" t="s">
        <v>2048</v>
      </c>
      <c r="E33" s="8" t="s">
        <v>2049</v>
      </c>
      <c r="F33" s="59"/>
      <c r="G33" s="6" t="str">
        <f t="shared" si="1"/>
        <v>MISSING</v>
      </c>
      <c r="H33" s="6" t="s">
        <v>98</v>
      </c>
    </row>
    <row r="34" ht="27.75" customHeight="1">
      <c r="A34" s="8" t="s">
        <v>2050</v>
      </c>
      <c r="B34" s="3" t="s">
        <v>2051</v>
      </c>
      <c r="C34" s="8" t="s">
        <v>2052</v>
      </c>
      <c r="D34" s="8" t="s">
        <v>2053</v>
      </c>
      <c r="E34" s="8" t="s">
        <v>2054</v>
      </c>
      <c r="F34" s="59"/>
      <c r="G34" s="6" t="str">
        <f t="shared" si="1"/>
        <v>MISSING</v>
      </c>
      <c r="H34" s="6" t="s">
        <v>972</v>
      </c>
    </row>
    <row r="35" ht="15.0" customHeight="1">
      <c r="A35" s="8" t="s">
        <v>2055</v>
      </c>
      <c r="B35" s="3" t="s">
        <v>2056</v>
      </c>
      <c r="C35" s="8" t="s">
        <v>2057</v>
      </c>
      <c r="D35" s="8" t="s">
        <v>178</v>
      </c>
      <c r="E35" s="8" t="s">
        <v>2058</v>
      </c>
      <c r="F35" s="59"/>
      <c r="G35" s="6" t="str">
        <f t="shared" si="1"/>
        <v>MISSING</v>
      </c>
      <c r="H35" s="6" t="s">
        <v>98</v>
      </c>
    </row>
    <row r="36" ht="27.75" customHeight="1">
      <c r="A36" s="8" t="s">
        <v>2059</v>
      </c>
      <c r="B36" s="3" t="s">
        <v>2060</v>
      </c>
      <c r="C36" s="8" t="s">
        <v>2061</v>
      </c>
      <c r="D36" s="8" t="s">
        <v>178</v>
      </c>
      <c r="E36" s="8" t="s">
        <v>2062</v>
      </c>
      <c r="F36" s="59"/>
      <c r="G36" s="6" t="str">
        <f t="shared" si="1"/>
        <v>MISSING</v>
      </c>
      <c r="H36" s="6" t="s">
        <v>98</v>
      </c>
    </row>
    <row r="37" ht="27.75" customHeight="1">
      <c r="A37" s="8" t="s">
        <v>2063</v>
      </c>
      <c r="B37" s="3" t="s">
        <v>2064</v>
      </c>
      <c r="C37" s="8" t="s">
        <v>2066</v>
      </c>
      <c r="D37" s="8" t="s">
        <v>2067</v>
      </c>
      <c r="E37" s="8" t="s">
        <v>2068</v>
      </c>
      <c r="F37" s="59"/>
      <c r="G37" s="6" t="str">
        <f t="shared" si="1"/>
        <v>MISSING</v>
      </c>
      <c r="H37" s="6" t="s">
        <v>972</v>
      </c>
    </row>
    <row r="38" ht="27.75" customHeight="1">
      <c r="A38" s="8" t="s">
        <v>2070</v>
      </c>
      <c r="B38" s="3" t="s">
        <v>2071</v>
      </c>
      <c r="C38" s="8" t="s">
        <v>2072</v>
      </c>
      <c r="D38" s="8" t="s">
        <v>178</v>
      </c>
      <c r="E38" s="8" t="s">
        <v>2073</v>
      </c>
      <c r="F38" s="59"/>
      <c r="G38" s="6" t="str">
        <f t="shared" si="1"/>
        <v>MISSING</v>
      </c>
      <c r="H38" s="6" t="s">
        <v>98</v>
      </c>
    </row>
    <row r="39" ht="15.0" customHeight="1">
      <c r="A39" s="8" t="s">
        <v>2074</v>
      </c>
      <c r="B39" s="3" t="s">
        <v>2076</v>
      </c>
      <c r="C39" s="8" t="s">
        <v>2078</v>
      </c>
      <c r="D39" s="8" t="s">
        <v>178</v>
      </c>
      <c r="E39" s="8" t="s">
        <v>2079</v>
      </c>
      <c r="F39" s="59"/>
      <c r="G39" s="6" t="str">
        <f t="shared" si="1"/>
        <v>MISSING</v>
      </c>
      <c r="H39" s="6" t="s">
        <v>98</v>
      </c>
    </row>
    <row r="40" ht="27.75" customHeight="1">
      <c r="A40" s="8" t="s">
        <v>2080</v>
      </c>
      <c r="B40" s="3" t="s">
        <v>2081</v>
      </c>
      <c r="C40" s="8" t="s">
        <v>2082</v>
      </c>
      <c r="D40" s="8" t="s">
        <v>178</v>
      </c>
      <c r="E40" s="8" t="s">
        <v>2083</v>
      </c>
      <c r="F40" s="59"/>
      <c r="G40" s="6" t="str">
        <f t="shared" si="1"/>
        <v>MISSING</v>
      </c>
      <c r="H40" s="6" t="s">
        <v>98</v>
      </c>
    </row>
    <row r="41" ht="27.75" customHeight="1">
      <c r="A41" s="8" t="s">
        <v>2087</v>
      </c>
      <c r="B41" s="3" t="s">
        <v>2088</v>
      </c>
      <c r="C41" s="8" t="s">
        <v>2082</v>
      </c>
      <c r="D41" s="8" t="s">
        <v>178</v>
      </c>
      <c r="E41" s="8" t="s">
        <v>2089</v>
      </c>
      <c r="F41" s="59"/>
      <c r="G41" s="6" t="str">
        <f t="shared" si="1"/>
        <v>MISSING</v>
      </c>
      <c r="H41" s="6" t="s">
        <v>98</v>
      </c>
    </row>
    <row r="42" ht="27.75" customHeight="1">
      <c r="A42" s="8" t="s">
        <v>2090</v>
      </c>
      <c r="B42" s="3" t="s">
        <v>2091</v>
      </c>
      <c r="C42" s="8" t="s">
        <v>2093</v>
      </c>
      <c r="D42" s="8" t="s">
        <v>178</v>
      </c>
      <c r="E42" s="8" t="s">
        <v>2095</v>
      </c>
      <c r="F42" s="59"/>
      <c r="G42" s="6" t="str">
        <f t="shared" si="1"/>
        <v>MISSING</v>
      </c>
      <c r="H42" s="6" t="s">
        <v>972</v>
      </c>
    </row>
    <row r="43" ht="15.0" customHeight="1">
      <c r="A43" s="8" t="s">
        <v>2097</v>
      </c>
      <c r="B43" s="3" t="s">
        <v>2098</v>
      </c>
      <c r="C43" s="8" t="s">
        <v>2099</v>
      </c>
      <c r="D43" s="8" t="s">
        <v>2100</v>
      </c>
      <c r="E43" s="8" t="s">
        <v>2101</v>
      </c>
      <c r="F43" s="59"/>
      <c r="G43" s="6" t="str">
        <f t="shared" si="1"/>
        <v>MISSING</v>
      </c>
      <c r="H43" s="6" t="s">
        <v>972</v>
      </c>
    </row>
    <row r="44" ht="27.75" customHeight="1">
      <c r="A44" s="8" t="s">
        <v>2104</v>
      </c>
      <c r="B44" s="3" t="s">
        <v>2106</v>
      </c>
      <c r="C44" s="8" t="s">
        <v>2107</v>
      </c>
      <c r="D44" s="8" t="s">
        <v>2108</v>
      </c>
      <c r="E44" s="8" t="s">
        <v>2109</v>
      </c>
      <c r="F44" s="59"/>
      <c r="G44" s="6" t="str">
        <f t="shared" si="1"/>
        <v>MISSING</v>
      </c>
      <c r="H44" s="6" t="s">
        <v>972</v>
      </c>
    </row>
    <row r="45" ht="15.0" customHeight="1">
      <c r="A45" s="8" t="s">
        <v>2110</v>
      </c>
      <c r="B45" s="3" t="s">
        <v>2111</v>
      </c>
      <c r="C45" s="8" t="s">
        <v>2112</v>
      </c>
      <c r="D45" s="8" t="s">
        <v>2006</v>
      </c>
      <c r="E45" s="8" t="s">
        <v>2114</v>
      </c>
      <c r="F45" s="59"/>
      <c r="G45" s="6" t="str">
        <f t="shared" si="1"/>
        <v>MISSING</v>
      </c>
      <c r="H45" s="6" t="s">
        <v>98</v>
      </c>
    </row>
    <row r="46" ht="27.75" customHeight="1">
      <c r="A46" s="8" t="s">
        <v>2117</v>
      </c>
      <c r="B46" s="3" t="s">
        <v>2118</v>
      </c>
      <c r="C46" s="8" t="s">
        <v>2119</v>
      </c>
      <c r="D46" s="8" t="s">
        <v>2120</v>
      </c>
      <c r="E46" s="8" t="s">
        <v>2121</v>
      </c>
      <c r="F46" s="59"/>
      <c r="G46" s="6" t="str">
        <f t="shared" si="1"/>
        <v>MISSING</v>
      </c>
      <c r="H46" s="6" t="s">
        <v>972</v>
      </c>
    </row>
    <row r="47" ht="27.75" customHeight="1">
      <c r="A47" s="8" t="s">
        <v>2124</v>
      </c>
      <c r="B47" s="3" t="s">
        <v>2126</v>
      </c>
      <c r="C47" s="8" t="s">
        <v>2127</v>
      </c>
      <c r="D47" s="8" t="s">
        <v>178</v>
      </c>
      <c r="E47" s="8" t="s">
        <v>2128</v>
      </c>
      <c r="F47" s="59"/>
      <c r="G47" s="6" t="str">
        <f t="shared" si="1"/>
        <v>MISSING</v>
      </c>
      <c r="H47" s="6" t="s">
        <v>98</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8:G47">
    <cfRule type="expression" dxfId="0" priority="1">
      <formula>G8="Provided"</formula>
    </cfRule>
  </conditionalFormatting>
  <conditionalFormatting sqref="G8:G47">
    <cfRule type="expression" dxfId="2" priority="2">
      <formula>AND(G8&lt;&gt;"",NOT(G8="Provided"))</formula>
    </cfRule>
  </conditionalFormatting>
  <printOptions/>
  <pageMargins bottom="1.0" footer="0.0" header="0.0" left="0.75" right="0.75" top="1.0"/>
  <pageSetup fitToHeight="0" paperSize="9"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fitToPage="1"/>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2" width="30.0"/>
    <col customWidth="1" min="3" max="3" width="46.0"/>
    <col customWidth="1" min="4" max="4" width="58.0"/>
    <col customWidth="1" min="5" max="5" width="16.0"/>
    <col customWidth="1" min="6" max="6" width="14.0"/>
    <col customWidth="1" min="7" max="7" width="9.0"/>
    <col customWidth="1" min="8" max="8" width="22.0"/>
    <col customWidth="1" min="9" max="9" width="11.0"/>
    <col customWidth="1" min="10" max="10" width="12.0"/>
    <col customWidth="1" min="11" max="11" width="24.0"/>
    <col customWidth="1" min="12" max="26" width="8.71"/>
  </cols>
  <sheetData>
    <row r="1" ht="21.75" customHeight="1">
      <c r="A1" s="1" t="s">
        <v>2159</v>
      </c>
    </row>
    <row r="2">
      <c r="A2" s="2" t="s">
        <v>2160</v>
      </c>
    </row>
    <row r="4" ht="18.0" customHeight="1">
      <c r="A4" s="11" t="s">
        <v>2161</v>
      </c>
      <c r="B4" s="12"/>
      <c r="C4" s="12"/>
      <c r="D4" s="12"/>
      <c r="E4" s="12"/>
      <c r="F4" s="12"/>
      <c r="G4" s="12"/>
      <c r="H4" s="12"/>
      <c r="I4" s="12"/>
      <c r="J4" s="12"/>
      <c r="K4" s="12"/>
    </row>
    <row r="5" ht="30.0" customHeight="1">
      <c r="A5" s="4" t="s">
        <v>1640</v>
      </c>
      <c r="B5" s="4" t="s">
        <v>2162</v>
      </c>
      <c r="C5" s="4" t="s">
        <v>2163</v>
      </c>
      <c r="D5" s="4" t="s">
        <v>2164</v>
      </c>
      <c r="E5" s="4" t="s">
        <v>2165</v>
      </c>
      <c r="F5" s="4" t="s">
        <v>2166</v>
      </c>
      <c r="G5" s="4" t="s">
        <v>163</v>
      </c>
      <c r="H5" s="4" t="s">
        <v>2167</v>
      </c>
      <c r="I5" s="4" t="s">
        <v>2168</v>
      </c>
      <c r="J5" s="4" t="s">
        <v>796</v>
      </c>
      <c r="K5" s="4" t="s">
        <v>2169</v>
      </c>
    </row>
    <row r="6" ht="66.75" customHeight="1">
      <c r="A6" s="24" t="s">
        <v>2170</v>
      </c>
      <c r="B6" s="3" t="s">
        <v>2171</v>
      </c>
      <c r="C6" s="8" t="s">
        <v>2172</v>
      </c>
      <c r="D6" s="60" t="s">
        <v>2173</v>
      </c>
      <c r="E6" s="8" t="s">
        <v>2174</v>
      </c>
      <c r="F6" s="6" t="s">
        <v>2175</v>
      </c>
      <c r="G6" s="61" t="s">
        <v>2176</v>
      </c>
      <c r="H6" s="8" t="s">
        <v>178</v>
      </c>
      <c r="I6" s="6" t="s">
        <v>2177</v>
      </c>
      <c r="J6" s="37" t="s">
        <v>2178</v>
      </c>
      <c r="K6" s="8" t="s">
        <v>2179</v>
      </c>
    </row>
    <row r="7" ht="117.0" customHeight="1">
      <c r="A7" s="24" t="s">
        <v>2180</v>
      </c>
      <c r="B7" s="3" t="s">
        <v>2181</v>
      </c>
      <c r="C7" s="8" t="s">
        <v>2182</v>
      </c>
      <c r="D7" s="60" t="s">
        <v>2183</v>
      </c>
      <c r="E7" s="8" t="s">
        <v>2174</v>
      </c>
      <c r="F7" s="6" t="s">
        <v>2184</v>
      </c>
      <c r="G7" s="61" t="s">
        <v>2176</v>
      </c>
      <c r="H7" s="8" t="s">
        <v>178</v>
      </c>
      <c r="I7" s="6" t="s">
        <v>2177</v>
      </c>
      <c r="J7" s="37" t="s">
        <v>2178</v>
      </c>
      <c r="K7" s="8" t="s">
        <v>2185</v>
      </c>
    </row>
    <row r="8" ht="54.0" customHeight="1">
      <c r="A8" s="24" t="s">
        <v>2186</v>
      </c>
      <c r="B8" s="3" t="s">
        <v>2187</v>
      </c>
      <c r="C8" s="8" t="s">
        <v>2188</v>
      </c>
      <c r="D8" s="60" t="s">
        <v>2189</v>
      </c>
      <c r="E8" s="8" t="s">
        <v>2174</v>
      </c>
      <c r="F8" s="6" t="s">
        <v>2190</v>
      </c>
      <c r="G8" s="61" t="s">
        <v>2176</v>
      </c>
      <c r="H8" s="8" t="s">
        <v>178</v>
      </c>
      <c r="I8" s="6" t="s">
        <v>2177</v>
      </c>
      <c r="J8" s="37" t="s">
        <v>2178</v>
      </c>
      <c r="K8" s="8" t="s">
        <v>2191</v>
      </c>
    </row>
    <row r="9" ht="66.75" customHeight="1">
      <c r="A9" s="24" t="s">
        <v>2192</v>
      </c>
      <c r="B9" s="3" t="s">
        <v>2193</v>
      </c>
      <c r="C9" s="8" t="s">
        <v>2194</v>
      </c>
      <c r="D9" s="60" t="s">
        <v>2195</v>
      </c>
      <c r="E9" s="8" t="s">
        <v>2174</v>
      </c>
      <c r="F9" s="6" t="s">
        <v>2196</v>
      </c>
      <c r="G9" s="61" t="s">
        <v>2176</v>
      </c>
      <c r="H9" s="8" t="s">
        <v>178</v>
      </c>
      <c r="I9" s="6" t="s">
        <v>2177</v>
      </c>
      <c r="J9" s="37" t="s">
        <v>2178</v>
      </c>
      <c r="K9" s="8" t="s">
        <v>2197</v>
      </c>
    </row>
    <row r="10" ht="41.25" customHeight="1">
      <c r="A10" s="24" t="s">
        <v>2198</v>
      </c>
      <c r="B10" s="3" t="s">
        <v>2199</v>
      </c>
      <c r="C10" s="8" t="s">
        <v>2200</v>
      </c>
      <c r="D10" s="60" t="s">
        <v>2201</v>
      </c>
      <c r="E10" s="8" t="s">
        <v>2202</v>
      </c>
      <c r="F10" s="6" t="s">
        <v>2203</v>
      </c>
      <c r="G10" s="25" t="s">
        <v>211</v>
      </c>
      <c r="H10" s="8" t="s">
        <v>2204</v>
      </c>
      <c r="I10" s="6" t="s">
        <v>2205</v>
      </c>
      <c r="J10" s="37" t="s">
        <v>2178</v>
      </c>
      <c r="K10" s="8" t="s">
        <v>178</v>
      </c>
    </row>
    <row r="11" ht="41.25" customHeight="1">
      <c r="A11" s="24" t="s">
        <v>2206</v>
      </c>
      <c r="B11" s="3" t="s">
        <v>2207</v>
      </c>
      <c r="C11" s="8" t="s">
        <v>2208</v>
      </c>
      <c r="D11" s="60" t="s">
        <v>2209</v>
      </c>
      <c r="E11" s="8" t="s">
        <v>2202</v>
      </c>
      <c r="F11" s="6" t="s">
        <v>2210</v>
      </c>
      <c r="G11" s="25" t="s">
        <v>211</v>
      </c>
      <c r="H11" s="8" t="s">
        <v>2211</v>
      </c>
      <c r="I11" s="6" t="s">
        <v>2212</v>
      </c>
      <c r="J11" s="37" t="s">
        <v>2178</v>
      </c>
      <c r="K11" s="8" t="s">
        <v>178</v>
      </c>
    </row>
    <row r="12" ht="54.0" customHeight="1">
      <c r="A12" s="24" t="s">
        <v>2213</v>
      </c>
      <c r="B12" s="3" t="s">
        <v>2214</v>
      </c>
      <c r="C12" s="8" t="s">
        <v>2215</v>
      </c>
      <c r="D12" s="60" t="s">
        <v>2216</v>
      </c>
      <c r="E12" s="8" t="s">
        <v>2174</v>
      </c>
      <c r="F12" s="6" t="s">
        <v>2203</v>
      </c>
      <c r="G12" s="25" t="s">
        <v>211</v>
      </c>
      <c r="H12" s="8" t="s">
        <v>2217</v>
      </c>
      <c r="I12" s="6" t="s">
        <v>2218</v>
      </c>
      <c r="J12" s="37" t="s">
        <v>2178</v>
      </c>
      <c r="K12" s="8" t="s">
        <v>178</v>
      </c>
    </row>
    <row r="13" ht="28.5" customHeight="1">
      <c r="A13" s="24" t="s">
        <v>2219</v>
      </c>
      <c r="B13" s="3" t="s">
        <v>2220</v>
      </c>
      <c r="C13" s="8" t="s">
        <v>2221</v>
      </c>
      <c r="D13" s="60" t="s">
        <v>2222</v>
      </c>
      <c r="E13" s="8" t="s">
        <v>2174</v>
      </c>
      <c r="F13" s="6" t="s">
        <v>2223</v>
      </c>
      <c r="G13" s="25" t="s">
        <v>211</v>
      </c>
      <c r="H13" s="8" t="s">
        <v>2224</v>
      </c>
      <c r="I13" s="6" t="s">
        <v>2218</v>
      </c>
      <c r="J13" s="37" t="s">
        <v>2178</v>
      </c>
      <c r="K13" s="8" t="s">
        <v>2225</v>
      </c>
    </row>
    <row r="14" ht="41.25" customHeight="1">
      <c r="A14" s="24" t="s">
        <v>2226</v>
      </c>
      <c r="B14" s="3" t="s">
        <v>2227</v>
      </c>
      <c r="C14" s="8" t="s">
        <v>2228</v>
      </c>
      <c r="D14" s="60" t="s">
        <v>2229</v>
      </c>
      <c r="E14" s="8" t="s">
        <v>2174</v>
      </c>
      <c r="F14" s="6" t="s">
        <v>2230</v>
      </c>
      <c r="G14" s="25" t="s">
        <v>211</v>
      </c>
      <c r="H14" s="8" t="s">
        <v>2186</v>
      </c>
      <c r="I14" s="6" t="s">
        <v>2218</v>
      </c>
      <c r="J14" s="37" t="s">
        <v>2178</v>
      </c>
      <c r="K14" s="8" t="s">
        <v>178</v>
      </c>
    </row>
    <row r="15" ht="28.5" customHeight="1">
      <c r="A15" s="24" t="s">
        <v>2231</v>
      </c>
      <c r="B15" s="3" t="s">
        <v>2232</v>
      </c>
      <c r="C15" s="8" t="s">
        <v>2233</v>
      </c>
      <c r="D15" s="60" t="s">
        <v>2234</v>
      </c>
      <c r="E15" s="8" t="s">
        <v>2174</v>
      </c>
      <c r="F15" s="6" t="s">
        <v>2223</v>
      </c>
      <c r="G15" s="25" t="s">
        <v>211</v>
      </c>
      <c r="H15" s="8" t="s">
        <v>2198</v>
      </c>
      <c r="I15" s="6" t="s">
        <v>2218</v>
      </c>
      <c r="J15" s="37" t="s">
        <v>2178</v>
      </c>
      <c r="K15" s="8" t="s">
        <v>178</v>
      </c>
    </row>
    <row r="16" ht="54.0" customHeight="1">
      <c r="A16" s="24" t="s">
        <v>2235</v>
      </c>
      <c r="B16" s="3" t="s">
        <v>2236</v>
      </c>
      <c r="C16" s="8" t="s">
        <v>2237</v>
      </c>
      <c r="D16" s="60" t="s">
        <v>2238</v>
      </c>
      <c r="E16" s="8" t="s">
        <v>2174</v>
      </c>
      <c r="F16" s="6" t="s">
        <v>2230</v>
      </c>
      <c r="G16" s="25" t="s">
        <v>211</v>
      </c>
      <c r="H16" s="8" t="s">
        <v>2186</v>
      </c>
      <c r="I16" s="6" t="s">
        <v>2218</v>
      </c>
      <c r="J16" s="37" t="s">
        <v>2178</v>
      </c>
      <c r="K16" s="8" t="s">
        <v>2239</v>
      </c>
    </row>
    <row r="17" ht="28.5" customHeight="1">
      <c r="A17" s="24" t="s">
        <v>2240</v>
      </c>
      <c r="B17" s="3" t="s">
        <v>2241</v>
      </c>
      <c r="C17" s="8" t="s">
        <v>2242</v>
      </c>
      <c r="D17" s="60" t="s">
        <v>2243</v>
      </c>
      <c r="E17" s="8" t="s">
        <v>2174</v>
      </c>
      <c r="F17" s="6" t="s">
        <v>2196</v>
      </c>
      <c r="G17" s="29" t="s">
        <v>250</v>
      </c>
      <c r="H17" s="8" t="s">
        <v>2244</v>
      </c>
      <c r="I17" s="6" t="s">
        <v>2245</v>
      </c>
      <c r="J17" s="37" t="s">
        <v>2178</v>
      </c>
      <c r="K17" s="8" t="s">
        <v>178</v>
      </c>
    </row>
    <row r="18" ht="28.5" customHeight="1">
      <c r="A18" s="24" t="s">
        <v>2248</v>
      </c>
      <c r="B18" s="3" t="s">
        <v>2250</v>
      </c>
      <c r="C18" s="8" t="s">
        <v>2251</v>
      </c>
      <c r="D18" s="60" t="s">
        <v>2252</v>
      </c>
      <c r="E18" s="8" t="s">
        <v>2253</v>
      </c>
      <c r="F18" s="6" t="s">
        <v>2254</v>
      </c>
      <c r="G18" s="26" t="s">
        <v>230</v>
      </c>
      <c r="H18" s="8" t="s">
        <v>178</v>
      </c>
      <c r="I18" s="6" t="s">
        <v>2258</v>
      </c>
      <c r="J18" s="37" t="s">
        <v>2178</v>
      </c>
      <c r="K18" s="8" t="s">
        <v>178</v>
      </c>
    </row>
    <row r="19" ht="28.5" customHeight="1">
      <c r="A19" s="24" t="s">
        <v>2260</v>
      </c>
      <c r="B19" s="3" t="s">
        <v>2263</v>
      </c>
      <c r="C19" s="8" t="s">
        <v>2265</v>
      </c>
      <c r="D19" s="60" t="s">
        <v>2267</v>
      </c>
      <c r="E19" s="8" t="s">
        <v>2268</v>
      </c>
      <c r="F19" s="6" t="s">
        <v>2270</v>
      </c>
      <c r="G19" s="26" t="s">
        <v>230</v>
      </c>
      <c r="H19" s="8" t="s">
        <v>2248</v>
      </c>
      <c r="I19" s="6" t="s">
        <v>2272</v>
      </c>
      <c r="J19" s="37" t="s">
        <v>2178</v>
      </c>
      <c r="K19" s="8" t="s">
        <v>178</v>
      </c>
    </row>
    <row r="20" ht="28.5" customHeight="1">
      <c r="A20" s="24" t="s">
        <v>2276</v>
      </c>
      <c r="B20" s="3" t="s">
        <v>2277</v>
      </c>
      <c r="C20" s="8" t="s">
        <v>2280</v>
      </c>
      <c r="D20" s="60" t="s">
        <v>2282</v>
      </c>
      <c r="E20" s="8" t="s">
        <v>2174</v>
      </c>
      <c r="F20" s="6" t="s">
        <v>2284</v>
      </c>
      <c r="G20" s="26" t="s">
        <v>230</v>
      </c>
      <c r="H20" s="8" t="s">
        <v>2286</v>
      </c>
      <c r="I20" s="6" t="s">
        <v>2245</v>
      </c>
      <c r="J20" s="37" t="s">
        <v>2178</v>
      </c>
      <c r="K20" s="8" t="s">
        <v>178</v>
      </c>
    </row>
    <row r="21" ht="28.5" customHeight="1">
      <c r="A21" s="24" t="s">
        <v>2290</v>
      </c>
      <c r="B21" s="3" t="s">
        <v>2292</v>
      </c>
      <c r="C21" s="8" t="s">
        <v>2294</v>
      </c>
      <c r="D21" s="60" t="s">
        <v>2296</v>
      </c>
      <c r="E21" s="8" t="s">
        <v>2297</v>
      </c>
      <c r="F21" s="6" t="s">
        <v>2190</v>
      </c>
      <c r="G21" s="25" t="s">
        <v>211</v>
      </c>
      <c r="H21" s="8" t="s">
        <v>2301</v>
      </c>
      <c r="I21" s="6" t="s">
        <v>2303</v>
      </c>
      <c r="J21" s="37" t="s">
        <v>2178</v>
      </c>
      <c r="K21" s="8" t="s">
        <v>178</v>
      </c>
    </row>
    <row r="22" ht="28.5" customHeight="1">
      <c r="A22" s="24" t="s">
        <v>2308</v>
      </c>
      <c r="B22" s="3" t="s">
        <v>2310</v>
      </c>
      <c r="C22" s="8" t="s">
        <v>2312</v>
      </c>
      <c r="D22" s="60" t="s">
        <v>2314</v>
      </c>
      <c r="E22" s="8" t="s">
        <v>2202</v>
      </c>
      <c r="F22" s="6" t="s">
        <v>2203</v>
      </c>
      <c r="G22" s="29" t="s">
        <v>250</v>
      </c>
      <c r="H22" s="8" t="s">
        <v>2318</v>
      </c>
      <c r="I22" s="6" t="s">
        <v>2245</v>
      </c>
      <c r="J22" s="37" t="s">
        <v>2178</v>
      </c>
      <c r="K22" s="8" t="s">
        <v>178</v>
      </c>
    </row>
    <row r="23" ht="28.5" customHeight="1">
      <c r="A23" s="24" t="s">
        <v>2322</v>
      </c>
      <c r="B23" s="3" t="s">
        <v>2323</v>
      </c>
      <c r="C23" s="8" t="s">
        <v>2325</v>
      </c>
      <c r="D23" s="60" t="s">
        <v>2327</v>
      </c>
      <c r="E23" s="8" t="s">
        <v>2328</v>
      </c>
      <c r="F23" s="6" t="s">
        <v>2329</v>
      </c>
      <c r="G23" s="25" t="s">
        <v>211</v>
      </c>
      <c r="H23" s="8" t="s">
        <v>2332</v>
      </c>
      <c r="I23" s="6" t="s">
        <v>2334</v>
      </c>
      <c r="J23" s="37" t="s">
        <v>2178</v>
      </c>
      <c r="K23" s="8" t="s">
        <v>2336</v>
      </c>
    </row>
    <row r="24" ht="41.25" customHeight="1">
      <c r="A24" s="24" t="s">
        <v>2339</v>
      </c>
      <c r="B24" s="3" t="s">
        <v>2341</v>
      </c>
      <c r="C24" s="8" t="s">
        <v>2344</v>
      </c>
      <c r="D24" s="60" t="s">
        <v>2345</v>
      </c>
      <c r="E24" s="8" t="s">
        <v>2268</v>
      </c>
      <c r="F24" s="6" t="s">
        <v>2230</v>
      </c>
      <c r="G24" s="25" t="s">
        <v>211</v>
      </c>
      <c r="H24" s="8" t="s">
        <v>2349</v>
      </c>
      <c r="I24" s="6" t="s">
        <v>2218</v>
      </c>
      <c r="J24" s="37" t="s">
        <v>2178</v>
      </c>
      <c r="K24" s="8" t="s">
        <v>2353</v>
      </c>
    </row>
    <row r="25" ht="15.75" customHeight="1">
      <c r="B25" s="3" t="s">
        <v>216</v>
      </c>
      <c r="C25" s="3" t="str">
        <f>COUNTIF(J6:J24,"Done")&amp;" of "&amp;COUNTA(A6:A24)</f>
        <v>0 of 19</v>
      </c>
    </row>
    <row r="26" ht="15.75" customHeight="1">
      <c r="B26" s="3" t="s">
        <v>218</v>
      </c>
      <c r="C26" s="3">
        <f>COUNTIFS(G6:G24,"P0",J6:J24,"&lt;&gt;Done")</f>
        <v>4</v>
      </c>
    </row>
    <row r="27" ht="15.75" customHeight="1"/>
    <row r="28" ht="18.0" customHeight="1">
      <c r="A28" s="11" t="s">
        <v>2364</v>
      </c>
      <c r="B28" s="12"/>
      <c r="C28" s="12"/>
      <c r="D28" s="12"/>
      <c r="E28" s="12"/>
      <c r="F28" s="12"/>
      <c r="G28" s="12"/>
      <c r="H28" s="12"/>
      <c r="I28" s="12"/>
      <c r="J28" s="12"/>
      <c r="K28" s="12"/>
    </row>
    <row r="29" ht="15.75" customHeight="1">
      <c r="A29" s="62" t="s">
        <v>2367</v>
      </c>
    </row>
    <row r="30" ht="15.75" customHeight="1">
      <c r="A30" s="47" t="s">
        <v>2373</v>
      </c>
    </row>
    <row r="31" ht="15.75" customHeight="1">
      <c r="A31" s="47" t="s">
        <v>2375</v>
      </c>
    </row>
    <row r="32" ht="15.75" customHeight="1">
      <c r="A32" s="47" t="s">
        <v>2377</v>
      </c>
    </row>
    <row r="33" ht="15.75" customHeight="1">
      <c r="A33" s="47" t="s">
        <v>2378</v>
      </c>
    </row>
    <row r="34" ht="15.75" customHeight="1">
      <c r="A34" s="47"/>
    </row>
    <row r="35" ht="15.75" customHeight="1">
      <c r="A35" s="47" t="s">
        <v>2380</v>
      </c>
    </row>
    <row r="36" ht="15.75" customHeight="1">
      <c r="A36" s="47" t="s">
        <v>2383</v>
      </c>
    </row>
    <row r="37" ht="15.75" customHeight="1">
      <c r="A37" s="47" t="s">
        <v>2384</v>
      </c>
    </row>
    <row r="38" ht="15.75" customHeight="1">
      <c r="A38" s="63" t="str">
        <f>"    ""/visakhapatnam/"": "&amp;'6. On-Page Specs'!$N$5&amp;","</f>
        <v>    "/visakhapatnam/": 1400,</v>
      </c>
    </row>
    <row r="39" ht="15.75" customHeight="1">
      <c r="A39" s="63" t="str">
        <f>"    ""/vijayawada/"": "&amp;'6. On-Page Specs'!$N$6&amp;","</f>
        <v>    "/vijayawada/": 1100,</v>
      </c>
    </row>
    <row r="40" ht="15.75" customHeight="1">
      <c r="A40" s="63" t="str">
        <f>"    ""/guntur/"": "&amp;'6. On-Page Specs'!$N$7&amp;","</f>
        <v>    "/guntur/": 1050,</v>
      </c>
    </row>
    <row r="41" ht="15.75" customHeight="1">
      <c r="A41" s="63" t="str">
        <f>"    ""/nellore/"": "&amp;'6. On-Page Specs'!$N$8&amp;","</f>
        <v>    "/nellore/": 1050,</v>
      </c>
    </row>
    <row r="42" ht="15.75" customHeight="1">
      <c r="A42" s="63" t="str">
        <f>"    ""/kurnool/"": "&amp;'6. On-Page Specs'!$N$9&amp;","</f>
        <v>    "/kurnool/": 1000,</v>
      </c>
    </row>
    <row r="43" ht="15.75" customHeight="1">
      <c r="A43" s="63" t="str">
        <f>"    ""/itanagar/"": "&amp;'6. On-Page Specs'!$N$10&amp;","</f>
        <v>    "/itanagar/": 900,</v>
      </c>
    </row>
    <row r="44" ht="15.75" customHeight="1">
      <c r="A44" s="63" t="str">
        <f>"    ""/market-area/andhra-pradesh/"": "&amp;'6. On-Page Specs'!$N$11&amp;","</f>
        <v>    "/market-area/andhra-pradesh/": 550,</v>
      </c>
    </row>
    <row r="45" ht="15.75" customHeight="1">
      <c r="A45" s="63" t="str">
        <f>"    ""/market-area/arunachal-pradesh/"": "&amp;'6. On-Page Specs'!$N$12&amp;","</f>
        <v>    "/market-area/arunachal-pradesh/": 450,</v>
      </c>
    </row>
    <row r="46" ht="15.75" customHeight="1">
      <c r="A46" s="63" t="str">
        <f>"    ""/market-area/"": "&amp;'6. On-Page Specs'!$N$13&amp;","</f>
        <v>    "/market-area/": 50,</v>
      </c>
    </row>
    <row r="47" ht="15.75" customHeight="1">
      <c r="A47" s="47" t="s">
        <v>2415</v>
      </c>
    </row>
    <row r="48" ht="15.75" customHeight="1">
      <c r="A48" s="47" t="s">
        <v>2416</v>
      </c>
    </row>
    <row r="49" ht="15.75" customHeight="1">
      <c r="A49" s="47" t="s">
        <v>2419</v>
      </c>
    </row>
    <row r="50" ht="15.75" customHeight="1">
      <c r="A50" s="47" t="s">
        <v>2420</v>
      </c>
    </row>
    <row r="51" ht="15.75" customHeight="1">
      <c r="A51" s="47" t="s">
        <v>2424</v>
      </c>
    </row>
    <row r="52" ht="15.75" customHeight="1">
      <c r="A52" s="47"/>
    </row>
    <row r="53" ht="15.75" customHeight="1">
      <c r="A53" s="47"/>
    </row>
    <row r="54" ht="15.75" customHeight="1">
      <c r="A54" s="47" t="s">
        <v>2426</v>
      </c>
    </row>
    <row r="55" ht="15.75" customHeight="1">
      <c r="A55" s="47" t="s">
        <v>2428</v>
      </c>
    </row>
    <row r="56" ht="15.75" customHeight="1">
      <c r="A56" s="47" t="s">
        <v>2429</v>
      </c>
    </row>
    <row r="57" ht="15.75" customHeight="1">
      <c r="A57" s="47" t="s">
        <v>2431</v>
      </c>
    </row>
    <row r="58" ht="15.75" customHeight="1">
      <c r="A58" s="47"/>
    </row>
    <row r="59" ht="15.75" customHeight="1">
      <c r="A59" s="47"/>
    </row>
    <row r="60" ht="15.75" customHeight="1">
      <c r="A60" s="47" t="s">
        <v>2432</v>
      </c>
    </row>
    <row r="61" ht="15.75" customHeight="1">
      <c r="A61" s="47" t="s">
        <v>2433</v>
      </c>
    </row>
    <row r="62" ht="15.75" customHeight="1">
      <c r="A62" s="47" t="s">
        <v>2435</v>
      </c>
    </row>
    <row r="63" ht="15.75" customHeight="1">
      <c r="A63" s="47"/>
    </row>
    <row r="64" ht="15.75" customHeight="1">
      <c r="A64" s="47"/>
    </row>
    <row r="65" ht="15.75" customHeight="1">
      <c r="A65" s="47" t="s">
        <v>2437</v>
      </c>
    </row>
    <row r="66" ht="15.75" customHeight="1">
      <c r="A66" s="47" t="s">
        <v>2438</v>
      </c>
    </row>
    <row r="67" ht="15.75" customHeight="1">
      <c r="A67" s="47" t="s">
        <v>2439</v>
      </c>
    </row>
    <row r="68" ht="15.75" customHeight="1">
      <c r="A68" s="47" t="s">
        <v>2440</v>
      </c>
    </row>
    <row r="69" ht="15.75" customHeight="1">
      <c r="A69" s="47" t="s">
        <v>2441</v>
      </c>
    </row>
    <row r="70" ht="15.75" customHeight="1">
      <c r="A70" s="47"/>
    </row>
    <row r="71" ht="15.75" customHeight="1">
      <c r="A71" s="47"/>
    </row>
    <row r="72" ht="15.75" customHeight="1">
      <c r="A72" s="47" t="s">
        <v>2445</v>
      </c>
    </row>
    <row r="73" ht="15.75" customHeight="1">
      <c r="A73" s="47" t="s">
        <v>2446</v>
      </c>
    </row>
    <row r="74" ht="15.75" customHeight="1">
      <c r="A74" s="47" t="s">
        <v>2447</v>
      </c>
    </row>
    <row r="75" ht="15.75" customHeight="1">
      <c r="A75" s="47"/>
    </row>
    <row r="76" ht="15.75" customHeight="1">
      <c r="A76" s="47"/>
    </row>
    <row r="77" ht="15.75" customHeight="1">
      <c r="A77" s="47" t="s">
        <v>2450</v>
      </c>
    </row>
    <row r="78" ht="15.75" customHeight="1">
      <c r="A78" s="47" t="s">
        <v>2451</v>
      </c>
    </row>
    <row r="79" ht="15.75" customHeight="1">
      <c r="A79" s="47" t="s">
        <v>2452</v>
      </c>
    </row>
    <row r="80" ht="15.75" customHeight="1">
      <c r="A80" s="47" t="s">
        <v>2453</v>
      </c>
    </row>
    <row r="81" ht="15.75" customHeight="1">
      <c r="A81" s="47" t="s">
        <v>2455</v>
      </c>
    </row>
    <row r="82" ht="15.75" customHeight="1">
      <c r="A82" s="47" t="s">
        <v>2456</v>
      </c>
    </row>
    <row r="83" ht="15.75" customHeight="1">
      <c r="A83" s="47" t="s">
        <v>2457</v>
      </c>
    </row>
    <row r="84" ht="15.75" customHeight="1">
      <c r="A84" s="47" t="s">
        <v>2458</v>
      </c>
    </row>
    <row r="85" ht="15.75" customHeight="1">
      <c r="A85" s="47" t="s">
        <v>2461</v>
      </c>
    </row>
    <row r="86" ht="15.75" customHeight="1">
      <c r="A86" s="47" t="s">
        <v>2462</v>
      </c>
    </row>
    <row r="87" ht="15.75" customHeight="1">
      <c r="A87" s="47" t="s">
        <v>2463</v>
      </c>
    </row>
    <row r="88" ht="15.75" customHeight="1">
      <c r="A88" s="47" t="s">
        <v>2464</v>
      </c>
    </row>
    <row r="89" ht="15.75" customHeight="1">
      <c r="A89" s="47"/>
    </row>
    <row r="90" ht="15.75" customHeight="1">
      <c r="A90" s="47"/>
    </row>
    <row r="91" ht="15.75" customHeight="1">
      <c r="A91" s="47" t="s">
        <v>2467</v>
      </c>
    </row>
    <row r="92" ht="15.75" customHeight="1">
      <c r="A92" s="47" t="s">
        <v>2468</v>
      </c>
    </row>
    <row r="93" ht="15.75" customHeight="1">
      <c r="A93" s="47" t="s">
        <v>2469</v>
      </c>
    </row>
    <row r="94" ht="15.75" customHeight="1">
      <c r="A94" s="47" t="s">
        <v>2471</v>
      </c>
    </row>
    <row r="95" ht="15.75" customHeight="1">
      <c r="A95" s="47" t="s">
        <v>2472</v>
      </c>
    </row>
    <row r="96" ht="15.75" customHeight="1">
      <c r="A96" s="47" t="s">
        <v>2473</v>
      </c>
    </row>
    <row r="97" ht="15.75" customHeight="1">
      <c r="A97" s="47" t="s">
        <v>2475</v>
      </c>
    </row>
    <row r="98" ht="15.75" customHeight="1">
      <c r="A98" s="47" t="s">
        <v>2477</v>
      </c>
    </row>
    <row r="99" ht="15.75" customHeight="1">
      <c r="A99" s="47" t="s">
        <v>2478</v>
      </c>
    </row>
    <row r="100" ht="15.75" customHeight="1">
      <c r="A100" s="47" t="s">
        <v>2479</v>
      </c>
    </row>
    <row r="101" ht="15.75" customHeight="1">
      <c r="A101" s="47" t="s">
        <v>2481</v>
      </c>
    </row>
    <row r="102" ht="15.75" customHeight="1">
      <c r="A102" s="47" t="s">
        <v>2483</v>
      </c>
    </row>
    <row r="103" ht="15.75" customHeight="1">
      <c r="A103" s="47" t="s">
        <v>2484</v>
      </c>
    </row>
    <row r="104" ht="15.75" customHeight="1">
      <c r="A104" s="47" t="s">
        <v>2485</v>
      </c>
    </row>
    <row r="105" ht="15.75" customHeight="1">
      <c r="A105" s="47" t="s">
        <v>2486</v>
      </c>
    </row>
    <row r="106" ht="15.75" customHeight="1">
      <c r="A106" s="47" t="s">
        <v>2489</v>
      </c>
    </row>
    <row r="107" ht="15.75" customHeight="1">
      <c r="A107" s="47" t="s">
        <v>2490</v>
      </c>
    </row>
    <row r="108" ht="15.75" customHeight="1">
      <c r="A108" s="47" t="s">
        <v>2491</v>
      </c>
    </row>
    <row r="109" ht="15.75" customHeight="1">
      <c r="A109" s="47" t="s">
        <v>2492</v>
      </c>
    </row>
    <row r="110" ht="15.75" customHeight="1">
      <c r="A110" s="47" t="s">
        <v>2494</v>
      </c>
    </row>
    <row r="111" ht="15.75" customHeight="1">
      <c r="A111" s="47" t="s">
        <v>2496</v>
      </c>
    </row>
    <row r="112" ht="15.75" customHeight="1">
      <c r="A112" s="47" t="s">
        <v>2497</v>
      </c>
    </row>
    <row r="113" ht="15.75" customHeight="1">
      <c r="A113" s="47" t="s">
        <v>2499</v>
      </c>
    </row>
    <row r="114" ht="15.75" customHeight="1">
      <c r="A114" s="47" t="s">
        <v>2501</v>
      </c>
    </row>
    <row r="115" ht="15.75" customHeight="1">
      <c r="A115" s="47" t="s">
        <v>2502</v>
      </c>
    </row>
    <row r="116" ht="15.75" customHeight="1">
      <c r="A116" s="47" t="s">
        <v>2503</v>
      </c>
    </row>
    <row r="117" ht="15.75" customHeight="1">
      <c r="A117" s="47" t="s">
        <v>2505</v>
      </c>
    </row>
    <row r="118" ht="15.75" customHeight="1">
      <c r="A118" s="47" t="s">
        <v>2506</v>
      </c>
    </row>
    <row r="119" ht="15.75" customHeight="1">
      <c r="A119" s="47" t="s">
        <v>2507</v>
      </c>
    </row>
    <row r="120" ht="15.75" customHeight="1">
      <c r="A120" s="47" t="s">
        <v>2509</v>
      </c>
    </row>
    <row r="121" ht="15.75" customHeight="1">
      <c r="A121" s="47" t="s">
        <v>2511</v>
      </c>
    </row>
    <row r="122" ht="15.75" customHeight="1">
      <c r="A122" s="47" t="s">
        <v>2512</v>
      </c>
    </row>
    <row r="123" ht="15.75" customHeight="1">
      <c r="A123" s="47" t="s">
        <v>2513</v>
      </c>
    </row>
    <row r="124" ht="15.75" customHeight="1">
      <c r="A124" s="47" t="s">
        <v>2515</v>
      </c>
    </row>
    <row r="125" ht="15.75" customHeight="1">
      <c r="A125" s="47" t="s">
        <v>2517</v>
      </c>
    </row>
    <row r="126" ht="15.75" customHeight="1">
      <c r="A126" s="47" t="s">
        <v>2518</v>
      </c>
    </row>
    <row r="127" ht="15.75" customHeight="1">
      <c r="A127" s="47" t="s">
        <v>2519</v>
      </c>
    </row>
    <row r="128" ht="15.75" customHeight="1">
      <c r="A128" s="47" t="s">
        <v>2521</v>
      </c>
    </row>
    <row r="129" ht="15.75" customHeight="1">
      <c r="A129" s="47" t="s">
        <v>2523</v>
      </c>
    </row>
    <row r="130" ht="15.75" customHeight="1">
      <c r="A130" s="47" t="s">
        <v>2524</v>
      </c>
    </row>
    <row r="131" ht="15.75" customHeight="1">
      <c r="A131" s="47"/>
    </row>
    <row r="132" ht="15.75" customHeight="1">
      <c r="A132" s="47" t="s">
        <v>2526</v>
      </c>
    </row>
    <row r="133" ht="15.75" customHeight="1">
      <c r="A133" s="47" t="s">
        <v>2529</v>
      </c>
    </row>
    <row r="134" ht="15.75" customHeight="1">
      <c r="A134" s="47" t="s">
        <v>2530</v>
      </c>
    </row>
    <row r="135" ht="15.75" customHeight="1">
      <c r="A135" s="47" t="s">
        <v>2531</v>
      </c>
    </row>
    <row r="136" ht="15.75" customHeight="1">
      <c r="A136" s="47" t="s">
        <v>2532</v>
      </c>
    </row>
    <row r="137" ht="15.75" customHeight="1">
      <c r="A137" s="47" t="s">
        <v>2535</v>
      </c>
    </row>
    <row r="138" ht="15.75" customHeight="1">
      <c r="A138" s="47" t="s">
        <v>2536</v>
      </c>
    </row>
    <row r="139" ht="15.75" customHeight="1">
      <c r="A139" s="47" t="s">
        <v>2537</v>
      </c>
    </row>
    <row r="140" ht="15.75" customHeight="1">
      <c r="A140" s="47" t="s">
        <v>2540</v>
      </c>
    </row>
    <row r="141" ht="15.75" customHeight="1">
      <c r="A141" s="47" t="s">
        <v>2541</v>
      </c>
    </row>
    <row r="142" ht="15.75" customHeight="1">
      <c r="A142" s="47" t="s">
        <v>2535</v>
      </c>
    </row>
    <row r="143" ht="15.75" customHeight="1">
      <c r="A143" s="47" t="s">
        <v>2543</v>
      </c>
    </row>
    <row r="144" ht="15.75" customHeight="1">
      <c r="A144" s="47" t="s">
        <v>2545</v>
      </c>
    </row>
    <row r="145" ht="15.75" customHeight="1">
      <c r="A145" s="47" t="s">
        <v>2546</v>
      </c>
    </row>
    <row r="146" ht="15.75" customHeight="1">
      <c r="A146" s="47" t="s">
        <v>2547</v>
      </c>
    </row>
    <row r="147" ht="15.75" customHeight="1"/>
    <row r="148" ht="18.0" customHeight="1">
      <c r="A148" s="11" t="s">
        <v>2548</v>
      </c>
      <c r="B148" s="12"/>
      <c r="C148" s="12"/>
      <c r="D148" s="12"/>
      <c r="E148" s="12"/>
      <c r="F148" s="12"/>
      <c r="G148" s="12"/>
      <c r="H148" s="12"/>
      <c r="I148" s="12"/>
      <c r="J148" s="12"/>
      <c r="K148" s="12"/>
    </row>
    <row r="149" ht="15.75" customHeight="1">
      <c r="A149" s="62" t="s">
        <v>2549</v>
      </c>
    </row>
    <row r="150" ht="30.0" customHeight="1">
      <c r="A150" s="4" t="s">
        <v>433</v>
      </c>
      <c r="B150" s="4" t="s">
        <v>2550</v>
      </c>
      <c r="C150" s="4" t="s">
        <v>796</v>
      </c>
      <c r="D150" s="4" t="s">
        <v>475</v>
      </c>
      <c r="E150" s="4" t="s">
        <v>587</v>
      </c>
      <c r="F150" s="4" t="s">
        <v>687</v>
      </c>
      <c r="G150" s="4" t="s">
        <v>734</v>
      </c>
      <c r="H150" s="4" t="s">
        <v>776</v>
      </c>
      <c r="I150" s="4" t="s">
        <v>802</v>
      </c>
    </row>
    <row r="151" ht="15.75" customHeight="1">
      <c r="A151" s="3" t="s">
        <v>25</v>
      </c>
      <c r="B151" s="64">
        <v>0.81</v>
      </c>
      <c r="C151" s="6" t="str">
        <f t="shared" ref="C151:C156" si="1">IF(B151&gt;=0.65,"PASS","FAIL")</f>
        <v>PASS</v>
      </c>
      <c r="D151" s="6" t="s">
        <v>178</v>
      </c>
      <c r="E151" s="65">
        <v>0.103</v>
      </c>
      <c r="F151" s="65">
        <v>0.102</v>
      </c>
      <c r="G151" s="65">
        <v>0.103</v>
      </c>
      <c r="H151" s="65">
        <v>0.096</v>
      </c>
      <c r="I151" s="65">
        <v>0.103</v>
      </c>
    </row>
    <row r="152" ht="15.75" customHeight="1">
      <c r="A152" s="3" t="s">
        <v>61</v>
      </c>
      <c r="B152" s="64">
        <v>0.735</v>
      </c>
      <c r="C152" s="6" t="str">
        <f t="shared" si="1"/>
        <v>PASS</v>
      </c>
      <c r="D152" s="65">
        <v>0.103</v>
      </c>
      <c r="E152" s="6" t="s">
        <v>178</v>
      </c>
      <c r="F152" s="65">
        <v>0.117</v>
      </c>
      <c r="G152" s="65">
        <v>0.117</v>
      </c>
      <c r="H152" s="65">
        <v>0.129</v>
      </c>
      <c r="I152" s="65">
        <v>0.131</v>
      </c>
    </row>
    <row r="153" ht="15.75" customHeight="1">
      <c r="A153" s="3" t="s">
        <v>92</v>
      </c>
      <c r="B153" s="64">
        <v>0.729</v>
      </c>
      <c r="C153" s="6" t="str">
        <f t="shared" si="1"/>
        <v>PASS</v>
      </c>
      <c r="D153" s="65">
        <v>0.102</v>
      </c>
      <c r="E153" s="65">
        <v>0.117</v>
      </c>
      <c r="F153" s="6" t="s">
        <v>178</v>
      </c>
      <c r="G153" s="65">
        <v>0.12</v>
      </c>
      <c r="H153" s="65">
        <v>0.131</v>
      </c>
      <c r="I153" s="65">
        <v>0.141</v>
      </c>
    </row>
    <row r="154" ht="15.75" customHeight="1">
      <c r="A154" s="3" t="s">
        <v>126</v>
      </c>
      <c r="B154" s="64">
        <v>0.748</v>
      </c>
      <c r="C154" s="6" t="str">
        <f t="shared" si="1"/>
        <v>PASS</v>
      </c>
      <c r="D154" s="65">
        <v>0.103</v>
      </c>
      <c r="E154" s="65">
        <v>0.117</v>
      </c>
      <c r="F154" s="65">
        <v>0.12</v>
      </c>
      <c r="G154" s="6" t="s">
        <v>178</v>
      </c>
      <c r="H154" s="65">
        <v>0.117</v>
      </c>
      <c r="I154" s="65">
        <v>0.133</v>
      </c>
    </row>
    <row r="155" ht="15.75" customHeight="1">
      <c r="A155" s="3" t="s">
        <v>151</v>
      </c>
      <c r="B155" s="64">
        <v>0.732</v>
      </c>
      <c r="C155" s="6" t="str">
        <f t="shared" si="1"/>
        <v>PASS</v>
      </c>
      <c r="D155" s="65">
        <v>0.096</v>
      </c>
      <c r="E155" s="65">
        <v>0.129</v>
      </c>
      <c r="F155" s="65">
        <v>0.131</v>
      </c>
      <c r="G155" s="65">
        <v>0.117</v>
      </c>
      <c r="H155" s="6" t="s">
        <v>178</v>
      </c>
      <c r="I155" s="65">
        <v>0.137</v>
      </c>
    </row>
    <row r="156" ht="15.75" customHeight="1">
      <c r="A156" s="3" t="s">
        <v>173</v>
      </c>
      <c r="B156" s="64">
        <v>0.698</v>
      </c>
      <c r="C156" s="6" t="str">
        <f t="shared" si="1"/>
        <v>PASS</v>
      </c>
      <c r="D156" s="65">
        <v>0.103</v>
      </c>
      <c r="E156" s="65">
        <v>0.131</v>
      </c>
      <c r="F156" s="65">
        <v>0.141</v>
      </c>
      <c r="G156" s="65">
        <v>0.133</v>
      </c>
      <c r="H156" s="65">
        <v>0.137</v>
      </c>
      <c r="I156" s="6" t="s">
        <v>178</v>
      </c>
    </row>
    <row r="157" ht="15.75" customHeight="1">
      <c r="A157" s="3" t="s">
        <v>2560</v>
      </c>
      <c r="B157" s="66">
        <f>MAX(D151:I156)</f>
        <v>0.141</v>
      </c>
      <c r="C157" s="24" t="str">
        <f>IF(B157&lt;=0.25,"PASS",IF(B157&lt;=0.35,"WARN","FAIL"))</f>
        <v>PASS</v>
      </c>
    </row>
    <row r="158" ht="15.75" customHeight="1">
      <c r="A158" s="3" t="s">
        <v>2561</v>
      </c>
      <c r="B158" s="36">
        <f>MIN(B151:B156)</f>
        <v>0.698</v>
      </c>
      <c r="C158" s="24" t="str">
        <f>IF(B158&gt;=0.65,"PASS","FAIL")</f>
        <v>PASS</v>
      </c>
    </row>
    <row r="159" ht="15.75" customHeight="1"/>
    <row r="160" ht="18.0" customHeight="1">
      <c r="A160" s="11" t="s">
        <v>2562</v>
      </c>
      <c r="B160" s="12"/>
      <c r="C160" s="12"/>
      <c r="D160" s="12"/>
      <c r="E160" s="12"/>
      <c r="F160" s="12"/>
      <c r="G160" s="12"/>
      <c r="H160" s="12"/>
      <c r="I160" s="12"/>
      <c r="J160" s="12"/>
      <c r="K160" s="12"/>
    </row>
    <row r="161" ht="15.75" customHeight="1">
      <c r="A161" s="3" t="s">
        <v>2563</v>
      </c>
      <c r="B161" s="51">
        <v>46293.0</v>
      </c>
      <c r="C161" s="8" t="s">
        <v>2564</v>
      </c>
    </row>
    <row r="162" ht="30.0" customHeight="1">
      <c r="A162" s="4" t="s">
        <v>2168</v>
      </c>
      <c r="B162" s="4" t="s">
        <v>2565</v>
      </c>
      <c r="C162" s="4" t="s">
        <v>2566</v>
      </c>
      <c r="D162" s="4" t="s">
        <v>2567</v>
      </c>
      <c r="E162" s="32" t="s">
        <v>2568</v>
      </c>
      <c r="F162" s="9"/>
      <c r="G162" s="32" t="s">
        <v>2165</v>
      </c>
      <c r="H162" s="9"/>
      <c r="I162" s="32" t="s">
        <v>2569</v>
      </c>
      <c r="J162" s="7"/>
      <c r="K162" s="9"/>
    </row>
    <row r="163" ht="28.5" customHeight="1">
      <c r="A163" s="24" t="s">
        <v>2177</v>
      </c>
      <c r="B163" s="52">
        <f>$B$161+7*0</f>
        <v>46293</v>
      </c>
      <c r="C163" s="3" t="s">
        <v>2570</v>
      </c>
      <c r="D163" s="8" t="s">
        <v>2571</v>
      </c>
      <c r="E163" s="15" t="s">
        <v>2572</v>
      </c>
      <c r="F163" s="9"/>
      <c r="G163" s="15" t="s">
        <v>2573</v>
      </c>
      <c r="H163" s="9"/>
      <c r="I163" s="15" t="s">
        <v>2574</v>
      </c>
      <c r="J163" s="7"/>
      <c r="K163" s="9"/>
    </row>
    <row r="164" ht="41.25" customHeight="1">
      <c r="A164" s="24" t="s">
        <v>2205</v>
      </c>
      <c r="B164" s="52">
        <f>$B$161+7*1</f>
        <v>46300</v>
      </c>
      <c r="C164" s="3" t="s">
        <v>2575</v>
      </c>
      <c r="D164" s="8" t="s">
        <v>2576</v>
      </c>
      <c r="E164" s="15" t="s">
        <v>2577</v>
      </c>
      <c r="F164" s="9"/>
      <c r="G164" s="15" t="s">
        <v>2578</v>
      </c>
      <c r="H164" s="9"/>
      <c r="I164" s="15" t="s">
        <v>2579</v>
      </c>
      <c r="J164" s="7"/>
      <c r="K164" s="9"/>
    </row>
    <row r="165" ht="54.0" customHeight="1">
      <c r="A165" s="24" t="s">
        <v>2218</v>
      </c>
      <c r="B165" s="52">
        <f>$B$161+7*2</f>
        <v>46307</v>
      </c>
      <c r="C165" s="3" t="s">
        <v>2580</v>
      </c>
      <c r="D165" s="8" t="s">
        <v>2581</v>
      </c>
      <c r="E165" s="15" t="s">
        <v>2582</v>
      </c>
      <c r="F165" s="9"/>
      <c r="G165" s="15" t="s">
        <v>2583</v>
      </c>
      <c r="H165" s="9"/>
      <c r="I165" s="15" t="s">
        <v>2584</v>
      </c>
      <c r="J165" s="7"/>
      <c r="K165" s="9"/>
    </row>
    <row r="166" ht="28.5" customHeight="1">
      <c r="A166" s="24" t="s">
        <v>2272</v>
      </c>
      <c r="B166" s="52">
        <f>$B$161+7*3</f>
        <v>46314</v>
      </c>
      <c r="C166" s="3" t="s">
        <v>2585</v>
      </c>
      <c r="D166" s="8" t="s">
        <v>2586</v>
      </c>
      <c r="E166" s="15" t="s">
        <v>2587</v>
      </c>
      <c r="F166" s="9"/>
      <c r="G166" s="15" t="s">
        <v>2583</v>
      </c>
      <c r="H166" s="9"/>
      <c r="I166" s="15" t="s">
        <v>2588</v>
      </c>
      <c r="J166" s="7"/>
      <c r="K166" s="9"/>
    </row>
    <row r="167" ht="28.5" customHeight="1">
      <c r="A167" s="24" t="s">
        <v>2245</v>
      </c>
      <c r="B167" s="52">
        <f>$B$161+7*4</f>
        <v>46321</v>
      </c>
      <c r="C167" s="3" t="s">
        <v>2589</v>
      </c>
      <c r="D167" s="8" t="s">
        <v>2590</v>
      </c>
      <c r="E167" s="15" t="s">
        <v>2591</v>
      </c>
      <c r="F167" s="9"/>
      <c r="G167" s="15" t="s">
        <v>2583</v>
      </c>
      <c r="H167" s="9"/>
      <c r="I167" s="15" t="s">
        <v>2592</v>
      </c>
      <c r="J167" s="7"/>
      <c r="K167" s="9"/>
    </row>
    <row r="168" ht="41.25" customHeight="1">
      <c r="A168" s="24" t="s">
        <v>2593</v>
      </c>
      <c r="B168" s="52">
        <f>$B$161+7*6</f>
        <v>46335</v>
      </c>
      <c r="C168" s="3" t="s">
        <v>2594</v>
      </c>
      <c r="D168" s="8" t="s">
        <v>2595</v>
      </c>
      <c r="E168" s="15" t="s">
        <v>2322</v>
      </c>
      <c r="F168" s="9"/>
      <c r="G168" s="15" t="s">
        <v>2596</v>
      </c>
      <c r="H168" s="9"/>
      <c r="I168" s="15" t="s">
        <v>2597</v>
      </c>
      <c r="J168" s="7"/>
      <c r="K168" s="9"/>
    </row>
    <row r="169" ht="41.25" customHeight="1">
      <c r="A169" s="24" t="s">
        <v>2598</v>
      </c>
      <c r="B169" s="52">
        <f>$B$161+7*10</f>
        <v>46363</v>
      </c>
      <c r="C169" s="3" t="s">
        <v>2599</v>
      </c>
      <c r="D169" s="8" t="s">
        <v>2600</v>
      </c>
      <c r="E169" s="15" t="s">
        <v>178</v>
      </c>
      <c r="F169" s="9"/>
      <c r="G169" s="15" t="s">
        <v>2601</v>
      </c>
      <c r="H169" s="9"/>
      <c r="I169" s="15" t="s">
        <v>2602</v>
      </c>
      <c r="J169" s="7"/>
      <c r="K169" s="9"/>
    </row>
    <row r="170" ht="15.75" customHeight="1"/>
    <row r="171" ht="18.0" customHeight="1">
      <c r="A171" s="11" t="s">
        <v>2603</v>
      </c>
      <c r="B171" s="12"/>
      <c r="C171" s="12"/>
      <c r="D171" s="12"/>
      <c r="E171" s="12"/>
      <c r="F171" s="12"/>
      <c r="G171" s="12"/>
      <c r="H171" s="12"/>
      <c r="I171" s="12"/>
      <c r="J171" s="12"/>
      <c r="K171" s="12"/>
    </row>
    <row r="172" ht="27.75" customHeight="1">
      <c r="A172" s="3" t="s">
        <v>2604</v>
      </c>
      <c r="B172" s="56">
        <v>3.0</v>
      </c>
      <c r="C172" s="8" t="s">
        <v>2605</v>
      </c>
    </row>
    <row r="173" ht="27.75" customHeight="1">
      <c r="A173" s="3" t="s">
        <v>2606</v>
      </c>
      <c r="B173" s="56">
        <v>5.0</v>
      </c>
    </row>
    <row r="174" ht="30.0" customHeight="1">
      <c r="A174" s="4" t="s">
        <v>2607</v>
      </c>
      <c r="B174" s="4" t="s">
        <v>2608</v>
      </c>
      <c r="C174" s="4" t="s">
        <v>2609</v>
      </c>
      <c r="D174" s="4" t="s">
        <v>2610</v>
      </c>
      <c r="E174" s="32" t="s">
        <v>2611</v>
      </c>
      <c r="F174" s="7"/>
      <c r="G174" s="9"/>
      <c r="H174" s="32" t="s">
        <v>440</v>
      </c>
      <c r="I174" s="7"/>
      <c r="J174" s="7"/>
      <c r="K174" s="9"/>
    </row>
    <row r="175" ht="28.5" customHeight="1">
      <c r="A175" s="3" t="s">
        <v>2612</v>
      </c>
      <c r="B175" s="6" t="s">
        <v>2613</v>
      </c>
      <c r="C175" s="6" t="s">
        <v>2614</v>
      </c>
      <c r="D175" s="40" t="str">
        <f>COUNTIF('12. Links-Redirects-Index'!$D$87:$D$95,"Indexed")&amp;" of 9 (from tab 12)"</f>
        <v>0 of 9 (from tab 12)</v>
      </c>
      <c r="E175" s="15" t="s">
        <v>2615</v>
      </c>
      <c r="F175" s="7"/>
      <c r="G175" s="9"/>
      <c r="H175" s="15"/>
      <c r="I175" s="7"/>
      <c r="J175" s="7"/>
      <c r="K175" s="9"/>
    </row>
    <row r="176" ht="28.5" customHeight="1">
      <c r="A176" s="3" t="s">
        <v>2616</v>
      </c>
      <c r="B176" s="67">
        <f>'1. Decision Summary'!$G$19</f>
        <v>31.81818182</v>
      </c>
      <c r="C176" s="21">
        <f>B176*$B$172</f>
        <v>95.45454545</v>
      </c>
      <c r="D176" s="37"/>
      <c r="E176" s="15" t="s">
        <v>2617</v>
      </c>
      <c r="F176" s="7"/>
      <c r="G176" s="9"/>
      <c r="H176" s="15" t="s">
        <v>2618</v>
      </c>
      <c r="I176" s="7"/>
      <c r="J176" s="7"/>
      <c r="K176" s="9"/>
    </row>
    <row r="177" ht="16.5" customHeight="1">
      <c r="A177" s="3" t="s">
        <v>2619</v>
      </c>
      <c r="B177" s="67">
        <f>'1. Decision Summary'!$J$18/'1. Decision Summary'!$C$4</f>
        <v>0.9090909091</v>
      </c>
      <c r="C177" s="21">
        <f>B177*$B$173</f>
        <v>4.545454545</v>
      </c>
      <c r="D177" s="37"/>
      <c r="E177" s="15" t="s">
        <v>2620</v>
      </c>
      <c r="F177" s="7"/>
      <c r="G177" s="9"/>
      <c r="H177" s="15"/>
      <c r="I177" s="7"/>
      <c r="J177" s="7"/>
      <c r="K177" s="9"/>
    </row>
    <row r="178" ht="54.0" customHeight="1">
      <c r="A178" s="3" t="s">
        <v>2621</v>
      </c>
      <c r="B178" s="6" t="s">
        <v>2622</v>
      </c>
      <c r="C178" s="6" t="s">
        <v>2623</v>
      </c>
      <c r="D178" s="37"/>
      <c r="E178" s="15" t="s">
        <v>2624</v>
      </c>
      <c r="F178" s="7"/>
      <c r="G178" s="9"/>
      <c r="H178" s="15"/>
      <c r="I178" s="7"/>
      <c r="J178" s="7"/>
      <c r="K178" s="9"/>
    </row>
    <row r="179" ht="28.5" customHeight="1">
      <c r="A179" s="3" t="s">
        <v>2625</v>
      </c>
      <c r="B179" s="6" t="s">
        <v>2626</v>
      </c>
      <c r="C179" s="6" t="s">
        <v>2627</v>
      </c>
      <c r="D179" s="37"/>
      <c r="E179" s="15" t="s">
        <v>2628</v>
      </c>
      <c r="F179" s="7"/>
      <c r="G179" s="9"/>
      <c r="H179" s="15" t="s">
        <v>2629</v>
      </c>
      <c r="I179" s="7"/>
      <c r="J179" s="7"/>
      <c r="K179" s="9"/>
    </row>
    <row r="180" ht="28.5" customHeight="1">
      <c r="A180" s="3" t="s">
        <v>2630</v>
      </c>
      <c r="B180" s="6" t="s">
        <v>2631</v>
      </c>
      <c r="C180" s="6" t="str">
        <f>IF('15. Client Inputs'!$F$8="","Set the promise first (tab 15 I-01)","100% answered "&amp;'15. Client Inputs'!$F$8)</f>
        <v>Set the promise first (tab 15 I-01)</v>
      </c>
      <c r="D180" s="37"/>
      <c r="E180" s="15" t="s">
        <v>2632</v>
      </c>
      <c r="F180" s="7"/>
      <c r="G180" s="9"/>
      <c r="H180" s="15"/>
      <c r="I180" s="7"/>
      <c r="J180" s="7"/>
      <c r="K180" s="9"/>
    </row>
    <row r="181" ht="28.5" customHeight="1">
      <c r="A181" s="3" t="s">
        <v>2633</v>
      </c>
      <c r="B181" s="6" t="s">
        <v>2634</v>
      </c>
      <c r="C181" s="6" t="s">
        <v>2635</v>
      </c>
      <c r="D181" s="37"/>
      <c r="E181" s="15" t="s">
        <v>2636</v>
      </c>
      <c r="F181" s="7"/>
      <c r="G181" s="9"/>
      <c r="H181" s="15"/>
      <c r="I181" s="7"/>
      <c r="J181" s="7"/>
      <c r="K181" s="9"/>
    </row>
    <row r="182" ht="28.5" customHeight="1">
      <c r="A182" s="3" t="s">
        <v>2637</v>
      </c>
      <c r="B182" s="6" t="s">
        <v>2631</v>
      </c>
      <c r="C182" s="6" t="s">
        <v>2638</v>
      </c>
      <c r="D182" s="37"/>
      <c r="E182" s="15" t="s">
        <v>2639</v>
      </c>
      <c r="F182" s="7"/>
      <c r="G182" s="9"/>
      <c r="H182" s="15"/>
      <c r="I182" s="7"/>
      <c r="J182" s="7"/>
      <c r="K182" s="9"/>
    </row>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
    <mergeCell ref="G164:H164"/>
    <mergeCell ref="I164:K164"/>
    <mergeCell ref="E162:F162"/>
    <mergeCell ref="G162:H162"/>
    <mergeCell ref="I162:K162"/>
    <mergeCell ref="E163:F163"/>
    <mergeCell ref="G163:H163"/>
    <mergeCell ref="I163:K163"/>
    <mergeCell ref="E164:F164"/>
    <mergeCell ref="G167:H167"/>
    <mergeCell ref="I167:K167"/>
    <mergeCell ref="E165:F165"/>
    <mergeCell ref="G165:H165"/>
    <mergeCell ref="I165:K165"/>
    <mergeCell ref="E166:F166"/>
    <mergeCell ref="G166:H166"/>
    <mergeCell ref="I166:K166"/>
    <mergeCell ref="E167:F167"/>
    <mergeCell ref="H175:K175"/>
    <mergeCell ref="H176:K176"/>
    <mergeCell ref="H177:K177"/>
    <mergeCell ref="H178:K178"/>
    <mergeCell ref="H179:K179"/>
    <mergeCell ref="H180:K180"/>
    <mergeCell ref="H181:K181"/>
    <mergeCell ref="H182:K182"/>
    <mergeCell ref="E168:F168"/>
    <mergeCell ref="G168:H168"/>
    <mergeCell ref="I168:K168"/>
    <mergeCell ref="E169:F169"/>
    <mergeCell ref="G169:H169"/>
    <mergeCell ref="I169:K169"/>
    <mergeCell ref="H174:K174"/>
    <mergeCell ref="E181:G181"/>
    <mergeCell ref="E182:G182"/>
    <mergeCell ref="E174:G174"/>
    <mergeCell ref="E175:G175"/>
    <mergeCell ref="E176:G176"/>
    <mergeCell ref="E177:G177"/>
    <mergeCell ref="E178:G178"/>
    <mergeCell ref="E179:G179"/>
    <mergeCell ref="E180:G180"/>
  </mergeCells>
  <conditionalFormatting sqref="J6:J24">
    <cfRule type="expression" dxfId="0" priority="1">
      <formula>J6="Done"</formula>
    </cfRule>
  </conditionalFormatting>
  <conditionalFormatting sqref="J6:J24">
    <cfRule type="expression" dxfId="2" priority="2">
      <formula>J6="Blocked"</formula>
    </cfRule>
  </conditionalFormatting>
  <conditionalFormatting sqref="C151:C156">
    <cfRule type="expression" dxfId="0" priority="3">
      <formula>C151="PASS"</formula>
    </cfRule>
  </conditionalFormatting>
  <conditionalFormatting sqref="C151:C156">
    <cfRule type="expression" dxfId="2" priority="4">
      <formula>AND(C151&lt;&gt;"",NOT(C151="PASS"))</formula>
    </cfRule>
  </conditionalFormatting>
  <conditionalFormatting sqref="C157">
    <cfRule type="expression" dxfId="0" priority="5">
      <formula>C157="PASS"</formula>
    </cfRule>
  </conditionalFormatting>
  <conditionalFormatting sqref="C157">
    <cfRule type="expression" dxfId="2" priority="6">
      <formula>AND(C157&lt;&gt;"",NOT(C157="PASS"))</formula>
    </cfRule>
  </conditionalFormatting>
  <conditionalFormatting sqref="C158">
    <cfRule type="expression" dxfId="0" priority="7">
      <formula>C158="PASS"</formula>
    </cfRule>
  </conditionalFormatting>
  <conditionalFormatting sqref="C158">
    <cfRule type="expression" dxfId="2" priority="8">
      <formula>AND(C158&lt;&gt;"",NOT(C158="PASS"))</formula>
    </cfRule>
  </conditionalFormatting>
  <dataValidations>
    <dataValidation type="list" allowBlank="1" sqref="J6:J24">
      <formula1>"To do,In progress,Done,Blocked"</formula1>
    </dataValidation>
  </dataValidations>
  <printOptions/>
  <pageMargins bottom="1.0" footer="0.0" header="0.0" left="0.75" right="0.75" top="1.0"/>
  <pageSetup fitToHeight="0" paperSize="9"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5.0" topLeftCell="A6" activePane="bottomLeft" state="frozen"/>
      <selection activeCell="B7" sqref="B7" pane="bottomLeft"/>
    </sheetView>
  </sheetViews>
  <sheetFormatPr customHeight="1" defaultColWidth="14.43" defaultRowHeight="15.0"/>
  <cols>
    <col customWidth="1" min="1" max="1" width="5.0"/>
    <col customWidth="1" min="2" max="2" width="58.0"/>
    <col customWidth="1" min="3" max="3" width="26.0"/>
    <col customWidth="1" min="4" max="4" width="30.0"/>
    <col customWidth="1" min="5" max="5" width="62.0"/>
    <col customWidth="1" min="6" max="6" width="14.0"/>
    <col customWidth="1" min="7" max="26" width="8.71"/>
  </cols>
  <sheetData>
    <row r="1" ht="21.75" customHeight="1">
      <c r="A1" s="1" t="s">
        <v>2246</v>
      </c>
    </row>
    <row r="2">
      <c r="A2" s="2" t="s">
        <v>2247</v>
      </c>
    </row>
    <row r="4" ht="18.0" customHeight="1">
      <c r="A4" s="11" t="s">
        <v>2249</v>
      </c>
      <c r="B4" s="12"/>
      <c r="C4" s="12"/>
      <c r="D4" s="12"/>
      <c r="E4" s="12"/>
      <c r="F4" s="12"/>
    </row>
    <row r="5" ht="30.0" customHeight="1">
      <c r="A5" s="4" t="s">
        <v>9</v>
      </c>
      <c r="B5" s="4" t="s">
        <v>2255</v>
      </c>
      <c r="C5" s="4" t="s">
        <v>1808</v>
      </c>
      <c r="D5" s="4" t="s">
        <v>2256</v>
      </c>
      <c r="E5" s="4" t="s">
        <v>790</v>
      </c>
      <c r="F5" s="4" t="s">
        <v>2257</v>
      </c>
    </row>
    <row r="6" ht="45.0" customHeight="1">
      <c r="A6" s="6">
        <v>1.0</v>
      </c>
      <c r="B6" s="8" t="s">
        <v>2259</v>
      </c>
      <c r="C6" s="8" t="s">
        <v>2261</v>
      </c>
      <c r="D6" s="8" t="s">
        <v>2262</v>
      </c>
      <c r="E6" s="8" t="s">
        <v>2264</v>
      </c>
      <c r="F6" s="6" t="s">
        <v>2266</v>
      </c>
    </row>
    <row r="7" ht="45.0" customHeight="1">
      <c r="A7" s="6">
        <v>2.0</v>
      </c>
      <c r="B7" s="8" t="s">
        <v>2269</v>
      </c>
      <c r="C7" s="8" t="s">
        <v>2261</v>
      </c>
      <c r="D7" s="8" t="s">
        <v>2271</v>
      </c>
      <c r="E7" s="8" t="s">
        <v>2273</v>
      </c>
      <c r="F7" s="6" t="s">
        <v>2274</v>
      </c>
    </row>
    <row r="8" ht="45.0" customHeight="1">
      <c r="A8" s="6">
        <v>3.0</v>
      </c>
      <c r="B8" s="8" t="s">
        <v>2275</v>
      </c>
      <c r="C8" s="8" t="s">
        <v>25</v>
      </c>
      <c r="D8" s="8" t="s">
        <v>2278</v>
      </c>
      <c r="E8" s="8" t="s">
        <v>2279</v>
      </c>
      <c r="F8" s="6" t="s">
        <v>2281</v>
      </c>
    </row>
    <row r="9" ht="45.0" customHeight="1">
      <c r="A9" s="6">
        <v>4.0</v>
      </c>
      <c r="B9" s="8" t="s">
        <v>2283</v>
      </c>
      <c r="C9" s="8" t="s">
        <v>2285</v>
      </c>
      <c r="D9" s="8" t="s">
        <v>2278</v>
      </c>
      <c r="E9" s="8" t="s">
        <v>2287</v>
      </c>
      <c r="F9" s="6" t="s">
        <v>2288</v>
      </c>
    </row>
    <row r="10" ht="45.0" customHeight="1">
      <c r="A10" s="6">
        <v>5.0</v>
      </c>
      <c r="B10" s="8" t="s">
        <v>2289</v>
      </c>
      <c r="C10" s="8" t="s">
        <v>25</v>
      </c>
      <c r="D10" s="8" t="s">
        <v>2291</v>
      </c>
      <c r="E10" s="8" t="s">
        <v>2293</v>
      </c>
      <c r="F10" s="6" t="s">
        <v>2295</v>
      </c>
    </row>
    <row r="11" ht="45.0" customHeight="1">
      <c r="A11" s="6">
        <v>6.0</v>
      </c>
      <c r="B11" s="8" t="s">
        <v>2298</v>
      </c>
      <c r="C11" s="8" t="s">
        <v>2299</v>
      </c>
      <c r="D11" s="8" t="s">
        <v>2300</v>
      </c>
      <c r="E11" s="8" t="s">
        <v>2302</v>
      </c>
      <c r="F11" s="6" t="s">
        <v>2304</v>
      </c>
    </row>
    <row r="12" ht="45.0" customHeight="1">
      <c r="A12" s="6">
        <v>7.0</v>
      </c>
      <c r="B12" s="8" t="s">
        <v>2305</v>
      </c>
      <c r="C12" s="8" t="s">
        <v>126</v>
      </c>
      <c r="D12" s="8" t="s">
        <v>2306</v>
      </c>
      <c r="E12" s="8" t="s">
        <v>2307</v>
      </c>
      <c r="F12" s="6" t="s">
        <v>2304</v>
      </c>
    </row>
    <row r="13" ht="45.0" customHeight="1">
      <c r="A13" s="6">
        <v>8.0</v>
      </c>
      <c r="B13" s="8" t="s">
        <v>2309</v>
      </c>
      <c r="C13" s="8" t="s">
        <v>2311</v>
      </c>
      <c r="D13" s="8" t="s">
        <v>2291</v>
      </c>
      <c r="E13" s="8" t="s">
        <v>2313</v>
      </c>
      <c r="F13" s="6" t="s">
        <v>2315</v>
      </c>
    </row>
    <row r="14" ht="45.0" customHeight="1">
      <c r="A14" s="6">
        <v>9.0</v>
      </c>
      <c r="B14" s="8" t="s">
        <v>2316</v>
      </c>
      <c r="C14" s="8" t="s">
        <v>2317</v>
      </c>
      <c r="D14" s="8" t="s">
        <v>2319</v>
      </c>
      <c r="E14" s="8" t="s">
        <v>2320</v>
      </c>
      <c r="F14" s="6" t="s">
        <v>2266</v>
      </c>
    </row>
    <row r="15" ht="45.0" customHeight="1">
      <c r="A15" s="6">
        <v>10.0</v>
      </c>
      <c r="B15" s="8" t="s">
        <v>2321</v>
      </c>
      <c r="C15" s="8" t="s">
        <v>151</v>
      </c>
      <c r="D15" s="8" t="s">
        <v>2324</v>
      </c>
      <c r="E15" s="8" t="s">
        <v>2326</v>
      </c>
      <c r="F15" s="6" t="s">
        <v>2315</v>
      </c>
    </row>
    <row r="16" ht="45.0" customHeight="1">
      <c r="A16" s="6">
        <v>11.0</v>
      </c>
      <c r="B16" s="8" t="s">
        <v>2330</v>
      </c>
      <c r="C16" s="8" t="s">
        <v>2331</v>
      </c>
      <c r="D16" s="8" t="s">
        <v>2333</v>
      </c>
      <c r="E16" s="8" t="s">
        <v>2335</v>
      </c>
      <c r="F16" s="6" t="s">
        <v>2266</v>
      </c>
    </row>
    <row r="17" ht="45.0" customHeight="1">
      <c r="A17" s="6">
        <v>12.0</v>
      </c>
      <c r="B17" s="8" t="s">
        <v>2337</v>
      </c>
      <c r="C17" s="8" t="s">
        <v>2338</v>
      </c>
      <c r="D17" s="8" t="s">
        <v>2340</v>
      </c>
      <c r="E17" s="8" t="s">
        <v>2342</v>
      </c>
      <c r="F17" s="6" t="s">
        <v>2343</v>
      </c>
    </row>
    <row r="18" ht="45.0" customHeight="1">
      <c r="A18" s="6">
        <v>13.0</v>
      </c>
      <c r="B18" s="8" t="s">
        <v>2346</v>
      </c>
      <c r="C18" s="8" t="s">
        <v>2347</v>
      </c>
      <c r="D18" s="8" t="s">
        <v>2348</v>
      </c>
      <c r="E18" s="8" t="s">
        <v>2350</v>
      </c>
      <c r="F18" s="6" t="s">
        <v>2351</v>
      </c>
    </row>
    <row r="20" ht="18.0" customHeight="1">
      <c r="A20" s="11" t="s">
        <v>2352</v>
      </c>
      <c r="B20" s="12"/>
      <c r="C20" s="12"/>
      <c r="D20" s="12"/>
      <c r="E20" s="12"/>
      <c r="F20" s="12"/>
    </row>
    <row r="21" ht="19.5" customHeight="1">
      <c r="A21" s="4" t="s">
        <v>9</v>
      </c>
      <c r="B21" s="4" t="s">
        <v>433</v>
      </c>
      <c r="C21" s="32" t="s">
        <v>2354</v>
      </c>
      <c r="D21" s="9"/>
      <c r="E21" s="32" t="s">
        <v>790</v>
      </c>
      <c r="F21" s="9"/>
    </row>
    <row r="22" ht="30.0" customHeight="1">
      <c r="A22" s="6">
        <v>1.0</v>
      </c>
      <c r="B22" s="3" t="s">
        <v>2355</v>
      </c>
      <c r="C22" s="15" t="s">
        <v>2356</v>
      </c>
      <c r="D22" s="9"/>
      <c r="E22" s="15" t="s">
        <v>2357</v>
      </c>
      <c r="F22" s="9"/>
    </row>
    <row r="23" ht="30.0" customHeight="1">
      <c r="A23" s="6">
        <v>2.0</v>
      </c>
      <c r="B23" s="3" t="s">
        <v>2358</v>
      </c>
      <c r="C23" s="15" t="s">
        <v>2359</v>
      </c>
      <c r="D23" s="9"/>
      <c r="E23" s="15" t="s">
        <v>2360</v>
      </c>
      <c r="F23" s="9"/>
    </row>
    <row r="24" ht="30.0" customHeight="1">
      <c r="A24" s="6">
        <v>3.0</v>
      </c>
      <c r="B24" s="3" t="s">
        <v>2361</v>
      </c>
      <c r="C24" s="15" t="s">
        <v>2362</v>
      </c>
      <c r="D24" s="9"/>
      <c r="E24" s="15" t="s">
        <v>2363</v>
      </c>
      <c r="F24" s="9"/>
    </row>
    <row r="25" ht="30.0" customHeight="1">
      <c r="A25" s="6">
        <v>4.0</v>
      </c>
      <c r="B25" s="3" t="s">
        <v>2365</v>
      </c>
      <c r="C25" s="15" t="s">
        <v>2362</v>
      </c>
      <c r="D25" s="9"/>
      <c r="E25" s="15" t="s">
        <v>2366</v>
      </c>
      <c r="F25" s="9"/>
    </row>
    <row r="26" ht="30.0" customHeight="1">
      <c r="A26" s="6">
        <v>5.0</v>
      </c>
      <c r="B26" s="3" t="s">
        <v>2368</v>
      </c>
      <c r="C26" s="15" t="s">
        <v>2369</v>
      </c>
      <c r="D26" s="9"/>
      <c r="E26" s="15" t="s">
        <v>2370</v>
      </c>
      <c r="F26" s="9"/>
    </row>
    <row r="27" ht="30.0" customHeight="1">
      <c r="A27" s="6">
        <v>6.0</v>
      </c>
      <c r="B27" s="3" t="s">
        <v>2371</v>
      </c>
      <c r="C27" s="15" t="s">
        <v>2372</v>
      </c>
      <c r="D27" s="9"/>
      <c r="E27" s="15" t="s">
        <v>2374</v>
      </c>
      <c r="F27" s="9"/>
    </row>
    <row r="28" ht="30.0" customHeight="1">
      <c r="A28" s="6">
        <v>7.0</v>
      </c>
      <c r="B28" s="3" t="s">
        <v>2376</v>
      </c>
      <c r="C28" s="15" t="s">
        <v>2372</v>
      </c>
      <c r="D28" s="9"/>
      <c r="E28" s="15" t="s">
        <v>2379</v>
      </c>
      <c r="F28" s="9"/>
    </row>
    <row r="29" ht="30.0" customHeight="1">
      <c r="A29" s="6">
        <v>8.0</v>
      </c>
      <c r="B29" s="3" t="s">
        <v>2381</v>
      </c>
      <c r="C29" s="15" t="s">
        <v>2382</v>
      </c>
      <c r="D29" s="9"/>
      <c r="E29" s="15" t="s">
        <v>2385</v>
      </c>
      <c r="F29" s="9"/>
    </row>
    <row r="30" ht="30.0" customHeight="1">
      <c r="A30" s="6">
        <v>9.0</v>
      </c>
      <c r="B30" s="3" t="s">
        <v>2386</v>
      </c>
      <c r="C30" s="15" t="s">
        <v>2382</v>
      </c>
      <c r="D30" s="9"/>
      <c r="E30" s="15" t="s">
        <v>2387</v>
      </c>
      <c r="F30" s="9"/>
    </row>
    <row r="31" ht="30.0" customHeight="1">
      <c r="A31" s="6">
        <v>10.0</v>
      </c>
      <c r="B31" s="3" t="s">
        <v>2388</v>
      </c>
      <c r="C31" s="15" t="s">
        <v>2389</v>
      </c>
      <c r="D31" s="9"/>
      <c r="E31" s="15" t="s">
        <v>2390</v>
      </c>
      <c r="F31" s="9"/>
    </row>
    <row r="32" ht="30.0" customHeight="1">
      <c r="A32" s="6">
        <v>11.0</v>
      </c>
      <c r="B32" s="3" t="s">
        <v>2391</v>
      </c>
      <c r="C32" s="15" t="s">
        <v>2392</v>
      </c>
      <c r="D32" s="9"/>
      <c r="E32" s="15" t="s">
        <v>2393</v>
      </c>
      <c r="F32" s="9"/>
    </row>
    <row r="33" ht="30.0" customHeight="1">
      <c r="A33" s="6">
        <v>12.0</v>
      </c>
      <c r="B33" s="3" t="s">
        <v>2394</v>
      </c>
      <c r="C33" s="15" t="s">
        <v>2395</v>
      </c>
      <c r="D33" s="9"/>
      <c r="E33" s="15" t="s">
        <v>2396</v>
      </c>
      <c r="F33" s="9"/>
    </row>
    <row r="34" ht="30.0" customHeight="1">
      <c r="A34" s="6">
        <v>13.0</v>
      </c>
      <c r="B34" s="3" t="s">
        <v>2397</v>
      </c>
      <c r="C34" s="15" t="s">
        <v>2398</v>
      </c>
      <c r="D34" s="9"/>
      <c r="E34" s="15" t="s">
        <v>2399</v>
      </c>
      <c r="F34" s="9"/>
    </row>
    <row r="35" ht="30.0" customHeight="1">
      <c r="A35" s="6">
        <v>14.0</v>
      </c>
      <c r="B35" s="3" t="s">
        <v>2400</v>
      </c>
      <c r="C35" s="15" t="s">
        <v>2398</v>
      </c>
      <c r="D35" s="9"/>
      <c r="E35" s="15" t="s">
        <v>2401</v>
      </c>
      <c r="F35" s="9"/>
    </row>
    <row r="36" ht="30.0" customHeight="1">
      <c r="A36" s="6">
        <v>15.0</v>
      </c>
      <c r="B36" s="3" t="s">
        <v>2402</v>
      </c>
      <c r="C36" s="15" t="s">
        <v>2398</v>
      </c>
      <c r="D36" s="9"/>
      <c r="E36" s="15" t="s">
        <v>2403</v>
      </c>
      <c r="F36" s="9"/>
    </row>
    <row r="37" ht="30.0" customHeight="1">
      <c r="A37" s="6">
        <v>16.0</v>
      </c>
      <c r="B37" s="3" t="s">
        <v>2404</v>
      </c>
      <c r="C37" s="15" t="s">
        <v>2398</v>
      </c>
      <c r="D37" s="9"/>
      <c r="E37" s="15" t="s">
        <v>2405</v>
      </c>
      <c r="F37" s="9"/>
    </row>
    <row r="38" ht="15.75" customHeight="1"/>
    <row r="39" ht="18.0" customHeight="1">
      <c r="A39" s="11" t="s">
        <v>2406</v>
      </c>
      <c r="B39" s="12"/>
      <c r="C39" s="12"/>
      <c r="D39" s="12"/>
      <c r="E39" s="12"/>
      <c r="F39" s="12"/>
    </row>
    <row r="40" ht="19.5" customHeight="1">
      <c r="A40" s="4" t="s">
        <v>9</v>
      </c>
      <c r="B40" s="4" t="s">
        <v>2407</v>
      </c>
      <c r="C40" s="32" t="s">
        <v>2408</v>
      </c>
      <c r="D40" s="9"/>
      <c r="E40" s="32" t="s">
        <v>1896</v>
      </c>
      <c r="F40" s="9"/>
    </row>
    <row r="41" ht="45.0" customHeight="1">
      <c r="A41" s="6">
        <v>1.0</v>
      </c>
      <c r="B41" s="8" t="s">
        <v>2409</v>
      </c>
      <c r="C41" s="15" t="s">
        <v>2410</v>
      </c>
      <c r="D41" s="9"/>
      <c r="E41" s="15" t="s">
        <v>2411</v>
      </c>
      <c r="F41" s="9"/>
    </row>
    <row r="42" ht="45.0" customHeight="1">
      <c r="A42" s="6">
        <v>2.0</v>
      </c>
      <c r="B42" s="8" t="s">
        <v>2412</v>
      </c>
      <c r="C42" s="15" t="s">
        <v>2413</v>
      </c>
      <c r="D42" s="9"/>
      <c r="E42" s="15" t="s">
        <v>2414</v>
      </c>
      <c r="F42" s="9"/>
    </row>
    <row r="43" ht="45.0" customHeight="1">
      <c r="A43" s="6">
        <v>3.0</v>
      </c>
      <c r="B43" s="8" t="s">
        <v>2417</v>
      </c>
      <c r="C43" s="15" t="s">
        <v>2418</v>
      </c>
      <c r="D43" s="9"/>
      <c r="E43" s="15" t="s">
        <v>2421</v>
      </c>
      <c r="F43" s="9"/>
    </row>
    <row r="44" ht="45.0" customHeight="1">
      <c r="A44" s="6">
        <v>4.0</v>
      </c>
      <c r="B44" s="8" t="s">
        <v>2422</v>
      </c>
      <c r="C44" s="15" t="s">
        <v>2423</v>
      </c>
      <c r="D44" s="9"/>
      <c r="E44" s="15" t="s">
        <v>2425</v>
      </c>
      <c r="F44" s="9"/>
    </row>
    <row r="45" ht="15.75" customHeight="1"/>
    <row r="46" ht="18.0" customHeight="1">
      <c r="A46" s="11" t="s">
        <v>2427</v>
      </c>
      <c r="B46" s="12"/>
      <c r="C46" s="12"/>
      <c r="D46" s="12"/>
      <c r="E46" s="12"/>
      <c r="F46" s="12"/>
    </row>
    <row r="47" ht="19.5" customHeight="1">
      <c r="A47" s="4" t="s">
        <v>9</v>
      </c>
      <c r="B47" s="4" t="s">
        <v>2430</v>
      </c>
      <c r="C47" s="4" t="s">
        <v>433</v>
      </c>
      <c r="D47" s="32" t="s">
        <v>2141</v>
      </c>
      <c r="E47" s="9"/>
      <c r="F47" s="4" t="s">
        <v>796</v>
      </c>
    </row>
    <row r="48" ht="45.0" customHeight="1">
      <c r="A48" s="6">
        <v>1.0</v>
      </c>
      <c r="B48" s="8" t="s">
        <v>2434</v>
      </c>
      <c r="C48" s="8" t="s">
        <v>25</v>
      </c>
      <c r="D48" s="15" t="s">
        <v>2436</v>
      </c>
      <c r="E48" s="9"/>
      <c r="F48" s="37" t="s">
        <v>2442</v>
      </c>
    </row>
    <row r="49" ht="45.0" customHeight="1">
      <c r="A49" s="6">
        <v>2.0</v>
      </c>
      <c r="B49" s="8" t="s">
        <v>2443</v>
      </c>
      <c r="C49" s="8" t="s">
        <v>25</v>
      </c>
      <c r="D49" s="15" t="s">
        <v>2444</v>
      </c>
      <c r="E49" s="9"/>
      <c r="F49" s="37" t="s">
        <v>2442</v>
      </c>
    </row>
    <row r="50" ht="45.0" customHeight="1">
      <c r="A50" s="6">
        <v>3.0</v>
      </c>
      <c r="B50" s="8" t="s">
        <v>2448</v>
      </c>
      <c r="C50" s="8" t="s">
        <v>25</v>
      </c>
      <c r="D50" s="15" t="s">
        <v>2449</v>
      </c>
      <c r="E50" s="9"/>
      <c r="F50" s="37" t="s">
        <v>2442</v>
      </c>
    </row>
    <row r="51" ht="45.0" customHeight="1">
      <c r="A51" s="6">
        <v>4.0</v>
      </c>
      <c r="B51" s="8" t="s">
        <v>980</v>
      </c>
      <c r="C51" s="8" t="s">
        <v>25</v>
      </c>
      <c r="D51" s="15" t="s">
        <v>2454</v>
      </c>
      <c r="E51" s="9"/>
      <c r="F51" s="37" t="s">
        <v>2442</v>
      </c>
    </row>
    <row r="52" ht="45.0" customHeight="1">
      <c r="A52" s="6">
        <v>5.0</v>
      </c>
      <c r="B52" s="8" t="s">
        <v>2459</v>
      </c>
      <c r="C52" s="8" t="s">
        <v>25</v>
      </c>
      <c r="D52" s="15" t="s">
        <v>2460</v>
      </c>
      <c r="E52" s="9"/>
      <c r="F52" s="37" t="s">
        <v>2442</v>
      </c>
    </row>
    <row r="53" ht="45.0" customHeight="1">
      <c r="A53" s="6">
        <v>6.0</v>
      </c>
      <c r="B53" s="8" t="s">
        <v>2465</v>
      </c>
      <c r="C53" s="8" t="s">
        <v>25</v>
      </c>
      <c r="D53" s="15" t="s">
        <v>2466</v>
      </c>
      <c r="E53" s="9"/>
      <c r="F53" s="37" t="s">
        <v>2442</v>
      </c>
    </row>
    <row r="54" ht="45.0" customHeight="1">
      <c r="A54" s="6">
        <v>7.0</v>
      </c>
      <c r="B54" s="8" t="s">
        <v>1073</v>
      </c>
      <c r="C54" s="8" t="s">
        <v>61</v>
      </c>
      <c r="D54" s="15" t="s">
        <v>2470</v>
      </c>
      <c r="E54" s="9"/>
      <c r="F54" s="37" t="s">
        <v>2442</v>
      </c>
    </row>
    <row r="55" ht="45.0" customHeight="1">
      <c r="A55" s="6">
        <v>8.0</v>
      </c>
      <c r="B55" s="8" t="s">
        <v>2474</v>
      </c>
      <c r="C55" s="8" t="s">
        <v>61</v>
      </c>
      <c r="D55" s="15" t="s">
        <v>2476</v>
      </c>
      <c r="E55" s="9"/>
      <c r="F55" s="37" t="s">
        <v>2442</v>
      </c>
    </row>
    <row r="56" ht="45.0" customHeight="1">
      <c r="A56" s="6">
        <v>9.0</v>
      </c>
      <c r="B56" s="8" t="s">
        <v>2480</v>
      </c>
      <c r="C56" s="8" t="s">
        <v>61</v>
      </c>
      <c r="D56" s="15" t="s">
        <v>2482</v>
      </c>
      <c r="E56" s="9"/>
      <c r="F56" s="37" t="s">
        <v>2442</v>
      </c>
    </row>
    <row r="57" ht="45.0" customHeight="1">
      <c r="A57" s="6">
        <v>10.0</v>
      </c>
      <c r="B57" s="8" t="s">
        <v>2487</v>
      </c>
      <c r="C57" s="8" t="s">
        <v>92</v>
      </c>
      <c r="D57" s="15" t="s">
        <v>2488</v>
      </c>
      <c r="E57" s="9"/>
      <c r="F57" s="37" t="s">
        <v>2442</v>
      </c>
    </row>
    <row r="58" ht="45.0" customHeight="1">
      <c r="A58" s="6">
        <v>11.0</v>
      </c>
      <c r="B58" s="8" t="s">
        <v>2493</v>
      </c>
      <c r="C58" s="8" t="s">
        <v>92</v>
      </c>
      <c r="D58" s="15" t="s">
        <v>2495</v>
      </c>
      <c r="E58" s="9"/>
      <c r="F58" s="37" t="s">
        <v>2442</v>
      </c>
    </row>
    <row r="59" ht="45.0" customHeight="1">
      <c r="A59" s="6">
        <v>12.0</v>
      </c>
      <c r="B59" s="8" t="s">
        <v>2498</v>
      </c>
      <c r="C59" s="8" t="s">
        <v>126</v>
      </c>
      <c r="D59" s="15" t="s">
        <v>2500</v>
      </c>
      <c r="E59" s="9"/>
      <c r="F59" s="37" t="s">
        <v>2442</v>
      </c>
    </row>
    <row r="60" ht="45.0" customHeight="1">
      <c r="A60" s="6">
        <v>13.0</v>
      </c>
      <c r="B60" s="8" t="s">
        <v>1406</v>
      </c>
      <c r="C60" s="8" t="s">
        <v>126</v>
      </c>
      <c r="D60" s="15" t="s">
        <v>2504</v>
      </c>
      <c r="E60" s="9"/>
      <c r="F60" s="37" t="s">
        <v>2442</v>
      </c>
    </row>
    <row r="61" ht="45.0" customHeight="1">
      <c r="A61" s="6">
        <v>14.0</v>
      </c>
      <c r="B61" s="8" t="s">
        <v>2508</v>
      </c>
      <c r="C61" s="8" t="s">
        <v>151</v>
      </c>
      <c r="D61" s="15" t="s">
        <v>2510</v>
      </c>
      <c r="E61" s="9"/>
      <c r="F61" s="37" t="s">
        <v>2442</v>
      </c>
    </row>
    <row r="62" ht="45.0" customHeight="1">
      <c r="A62" s="6">
        <v>15.0</v>
      </c>
      <c r="B62" s="8" t="s">
        <v>2514</v>
      </c>
      <c r="C62" s="8" t="s">
        <v>151</v>
      </c>
      <c r="D62" s="15" t="s">
        <v>2516</v>
      </c>
      <c r="E62" s="9"/>
      <c r="F62" s="37" t="s">
        <v>2442</v>
      </c>
    </row>
    <row r="63" ht="45.0" customHeight="1">
      <c r="A63" s="6">
        <v>16.0</v>
      </c>
      <c r="B63" s="8" t="s">
        <v>2520</v>
      </c>
      <c r="C63" s="8" t="s">
        <v>173</v>
      </c>
      <c r="D63" s="15" t="s">
        <v>2522</v>
      </c>
      <c r="E63" s="9"/>
      <c r="F63" s="37" t="s">
        <v>2442</v>
      </c>
    </row>
    <row r="64" ht="45.0" customHeight="1">
      <c r="A64" s="6">
        <v>17.0</v>
      </c>
      <c r="B64" s="8" t="s">
        <v>2525</v>
      </c>
      <c r="C64" s="8" t="s">
        <v>2527</v>
      </c>
      <c r="D64" s="15" t="s">
        <v>2528</v>
      </c>
      <c r="E64" s="9"/>
      <c r="F64" s="37" t="s">
        <v>2442</v>
      </c>
    </row>
    <row r="65" ht="45.0" customHeight="1">
      <c r="A65" s="6">
        <v>18.0</v>
      </c>
      <c r="B65" s="8" t="s">
        <v>2533</v>
      </c>
      <c r="C65" s="8" t="s">
        <v>2527</v>
      </c>
      <c r="D65" s="15" t="s">
        <v>2534</v>
      </c>
      <c r="E65" s="9"/>
      <c r="F65" s="37" t="s">
        <v>2442</v>
      </c>
    </row>
    <row r="66" ht="45.0" customHeight="1">
      <c r="A66" s="6">
        <v>19.0</v>
      </c>
      <c r="B66" s="8" t="s">
        <v>2538</v>
      </c>
      <c r="C66" s="8" t="s">
        <v>2527</v>
      </c>
      <c r="D66" s="15" t="s">
        <v>2539</v>
      </c>
      <c r="E66" s="9"/>
      <c r="F66" s="37" t="s">
        <v>2442</v>
      </c>
    </row>
    <row r="67" ht="45.0" customHeight="1">
      <c r="A67" s="6">
        <v>20.0</v>
      </c>
      <c r="B67" s="8" t="s">
        <v>2542</v>
      </c>
      <c r="C67" s="8" t="s">
        <v>2527</v>
      </c>
      <c r="D67" s="15" t="s">
        <v>2544</v>
      </c>
      <c r="E67" s="9"/>
      <c r="F67" s="37" t="s">
        <v>2442</v>
      </c>
    </row>
    <row r="68" ht="15.75" customHeight="1">
      <c r="B68" s="3" t="s">
        <v>233</v>
      </c>
      <c r="C68" s="3" t="str">
        <f>COUNTIF(F48:F67,"Verified")&amp;" of "&amp;COUNTA(A48:A67)</f>
        <v>0 of 20</v>
      </c>
    </row>
    <row r="69" ht="15.75" customHeight="1"/>
    <row r="70" ht="18.0" customHeight="1">
      <c r="A70" s="11" t="s">
        <v>2551</v>
      </c>
      <c r="B70" s="12"/>
      <c r="C70" s="12"/>
      <c r="D70" s="12"/>
      <c r="E70" s="12"/>
      <c r="F70" s="12"/>
    </row>
    <row r="71" ht="15.0" customHeight="1">
      <c r="A71" s="6">
        <v>1.0</v>
      </c>
      <c r="B71" s="3" t="s">
        <v>2552</v>
      </c>
      <c r="C71" s="15" t="s">
        <v>2553</v>
      </c>
      <c r="D71" s="7"/>
      <c r="E71" s="7"/>
      <c r="F71" s="9"/>
    </row>
    <row r="72" ht="15.0" customHeight="1">
      <c r="A72" s="6">
        <v>2.0</v>
      </c>
      <c r="B72" s="3" t="s">
        <v>2554</v>
      </c>
      <c r="C72" s="15" t="s">
        <v>2555</v>
      </c>
      <c r="D72" s="7"/>
      <c r="E72" s="7"/>
      <c r="F72" s="9"/>
    </row>
    <row r="73" ht="15.0" customHeight="1">
      <c r="A73" s="6">
        <v>3.0</v>
      </c>
      <c r="B73" s="3" t="s">
        <v>2556</v>
      </c>
      <c r="C73" s="15" t="s">
        <v>2557</v>
      </c>
      <c r="D73" s="7"/>
      <c r="E73" s="7"/>
      <c r="F73" s="9"/>
    </row>
    <row r="74" ht="15.0" customHeight="1">
      <c r="A74" s="6">
        <v>4.0</v>
      </c>
      <c r="B74" s="3" t="s">
        <v>2558</v>
      </c>
      <c r="C74" s="15" t="s">
        <v>2559</v>
      </c>
      <c r="D74" s="7"/>
      <c r="E74" s="7"/>
      <c r="F74" s="9"/>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9">
    <mergeCell ref="D50:E50"/>
    <mergeCell ref="D51:E51"/>
    <mergeCell ref="D52:E52"/>
    <mergeCell ref="D53:E53"/>
    <mergeCell ref="D54:E54"/>
    <mergeCell ref="D55:E55"/>
    <mergeCell ref="D56:E56"/>
    <mergeCell ref="D64:E64"/>
    <mergeCell ref="D65:E65"/>
    <mergeCell ref="D66:E66"/>
    <mergeCell ref="D67:E67"/>
    <mergeCell ref="C71:F71"/>
    <mergeCell ref="C72:F72"/>
    <mergeCell ref="C73:F73"/>
    <mergeCell ref="C74:F74"/>
    <mergeCell ref="D57:E57"/>
    <mergeCell ref="D58:E58"/>
    <mergeCell ref="D59:E59"/>
    <mergeCell ref="D60:E60"/>
    <mergeCell ref="D61:E61"/>
    <mergeCell ref="D62:E62"/>
    <mergeCell ref="D63:E63"/>
    <mergeCell ref="C21:D21"/>
    <mergeCell ref="E21:F21"/>
    <mergeCell ref="C22:D22"/>
    <mergeCell ref="E22:F22"/>
    <mergeCell ref="C23:D23"/>
    <mergeCell ref="E23:F23"/>
    <mergeCell ref="E24:F24"/>
    <mergeCell ref="C24:D24"/>
    <mergeCell ref="C25:D25"/>
    <mergeCell ref="C26:D26"/>
    <mergeCell ref="C27:D27"/>
    <mergeCell ref="C28:D28"/>
    <mergeCell ref="C29:D29"/>
    <mergeCell ref="C30:D30"/>
    <mergeCell ref="E25:F25"/>
    <mergeCell ref="E26:F26"/>
    <mergeCell ref="E27:F27"/>
    <mergeCell ref="E28:F28"/>
    <mergeCell ref="E29:F29"/>
    <mergeCell ref="E30:F30"/>
    <mergeCell ref="E31:F31"/>
    <mergeCell ref="C40:D40"/>
    <mergeCell ref="C41:D41"/>
    <mergeCell ref="C42:D42"/>
    <mergeCell ref="C43:D43"/>
    <mergeCell ref="C44:D44"/>
    <mergeCell ref="C31:D31"/>
    <mergeCell ref="C32:D32"/>
    <mergeCell ref="C33:D33"/>
    <mergeCell ref="C34:D34"/>
    <mergeCell ref="C35:D35"/>
    <mergeCell ref="C36:D36"/>
    <mergeCell ref="C37:D37"/>
    <mergeCell ref="E32:F32"/>
    <mergeCell ref="E33:F33"/>
    <mergeCell ref="E34:F34"/>
    <mergeCell ref="E35:F35"/>
    <mergeCell ref="E36:F36"/>
    <mergeCell ref="E37:F37"/>
    <mergeCell ref="E40:F40"/>
    <mergeCell ref="E41:F41"/>
    <mergeCell ref="E42:F42"/>
    <mergeCell ref="E43:F43"/>
    <mergeCell ref="E44:F44"/>
    <mergeCell ref="D47:E47"/>
    <mergeCell ref="D48:E48"/>
    <mergeCell ref="D49:E49"/>
  </mergeCells>
  <conditionalFormatting sqref="F48:F67">
    <cfRule type="expression" dxfId="0" priority="1">
      <formula>F48="Verified"</formula>
    </cfRule>
  </conditionalFormatting>
  <conditionalFormatting sqref="F48:F67">
    <cfRule type="expression" dxfId="3" priority="2">
      <formula>AND(F48&lt;&gt;"",NOT(F48="Verified"))</formula>
    </cfRule>
  </conditionalFormatting>
  <dataValidations>
    <dataValidation type="list" allowBlank="1" sqref="F48:F67">
      <formula1>"To verify,Verified,Deleted from page"</formula1>
    </dataValidation>
  </dataValidations>
  <printOptions/>
  <pageMargins bottom="1.0" footer="0.0" header="0.0" left="0.75" right="0.75" top="1.0"/>
  <pageSetup fitToHeight="0" paperSize="9" orientation="landscape"/>
  <drawing r:id="rId1"/>
</worksheet>
</file>